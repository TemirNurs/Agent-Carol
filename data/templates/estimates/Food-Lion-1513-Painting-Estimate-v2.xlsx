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ursm\Downloads\"/>
    </mc:Choice>
  </mc:AlternateContent>
  <xr:revisionPtr revIDLastSave="0" documentId="13_ncr:1_{CA577857-83F1-4D51-8FA4-5A9457AABB8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stimate Summary" sheetId="1" r:id="rId1"/>
    <sheet name="Interior Walls" sheetId="2" r:id="rId2"/>
    <sheet name="Ceilings" sheetId="3" r:id="rId3"/>
    <sheet name="Doors &amp; Frames" sheetId="4" r:id="rId4"/>
    <sheet name="Exterior" sheetId="5" r:id="rId5"/>
    <sheet name="Prep &amp; Misc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2" i="6" l="1"/>
  <c r="F31" i="6"/>
  <c r="G31" i="6" s="1"/>
  <c r="I31" i="6" s="1"/>
  <c r="F30" i="6"/>
  <c r="G30" i="6" s="1"/>
  <c r="I30" i="6" s="1"/>
  <c r="F28" i="6"/>
  <c r="G28" i="6" s="1"/>
  <c r="I28" i="6" s="1"/>
  <c r="G27" i="6"/>
  <c r="I27" i="6" s="1"/>
  <c r="F27" i="6"/>
  <c r="G25" i="6"/>
  <c r="I25" i="6" s="1"/>
  <c r="F25" i="6"/>
  <c r="F24" i="6"/>
  <c r="G24" i="6" s="1"/>
  <c r="I24" i="6" s="1"/>
  <c r="F23" i="6"/>
  <c r="G23" i="6" s="1"/>
  <c r="I23" i="6" s="1"/>
  <c r="G22" i="6"/>
  <c r="I22" i="6" s="1"/>
  <c r="F22" i="6"/>
  <c r="G21" i="6"/>
  <c r="I21" i="6" s="1"/>
  <c r="F21" i="6"/>
  <c r="F20" i="6"/>
  <c r="G20" i="6" s="1"/>
  <c r="I20" i="6" s="1"/>
  <c r="F18" i="6"/>
  <c r="G18" i="6" s="1"/>
  <c r="I18" i="6" s="1"/>
  <c r="G17" i="6"/>
  <c r="I17" i="6" s="1"/>
  <c r="F17" i="6"/>
  <c r="G16" i="6"/>
  <c r="I16" i="6" s="1"/>
  <c r="F16" i="6"/>
  <c r="F14" i="6"/>
  <c r="G14" i="6" s="1"/>
  <c r="I14" i="6" s="1"/>
  <c r="F13" i="6"/>
  <c r="G13" i="6" s="1"/>
  <c r="I13" i="6" s="1"/>
  <c r="G12" i="6"/>
  <c r="I12" i="6" s="1"/>
  <c r="F12" i="6"/>
  <c r="G10" i="6"/>
  <c r="I10" i="6" s="1"/>
  <c r="F10" i="6"/>
  <c r="F9" i="6"/>
  <c r="G9" i="6" s="1"/>
  <c r="I9" i="6" s="1"/>
  <c r="F8" i="6"/>
  <c r="G8" i="6" s="1"/>
  <c r="I8" i="6" s="1"/>
  <c r="G7" i="6"/>
  <c r="I7" i="6" s="1"/>
  <c r="F7" i="6"/>
  <c r="G6" i="6"/>
  <c r="I6" i="6" s="1"/>
  <c r="F6" i="6"/>
  <c r="F5" i="6"/>
  <c r="F32" i="6" s="1"/>
  <c r="B12" i="1" s="1"/>
  <c r="H13" i="5"/>
  <c r="C13" i="5"/>
  <c r="I12" i="5"/>
  <c r="G12" i="5"/>
  <c r="F11" i="5"/>
  <c r="G11" i="5" s="1"/>
  <c r="I11" i="5" s="1"/>
  <c r="F10" i="5"/>
  <c r="G10" i="5" s="1"/>
  <c r="I10" i="5" s="1"/>
  <c r="G9" i="5"/>
  <c r="I9" i="5" s="1"/>
  <c r="F9" i="5"/>
  <c r="I8" i="5"/>
  <c r="G8" i="5"/>
  <c r="F8" i="5"/>
  <c r="F7" i="5"/>
  <c r="G7" i="5" s="1"/>
  <c r="I7" i="5" s="1"/>
  <c r="F6" i="5"/>
  <c r="G6" i="5" s="1"/>
  <c r="I6" i="5" s="1"/>
  <c r="G5" i="5"/>
  <c r="I5" i="5" s="1"/>
  <c r="I13" i="5" s="1"/>
  <c r="F5" i="5"/>
  <c r="I4" i="5"/>
  <c r="G4" i="5"/>
  <c r="F4" i="5"/>
  <c r="F13" i="5" s="1"/>
  <c r="B11" i="1" s="1"/>
  <c r="K9" i="4"/>
  <c r="F9" i="4"/>
  <c r="H9" i="4" s="1"/>
  <c r="I9" i="4" s="1"/>
  <c r="L9" i="4" s="1"/>
  <c r="K8" i="4"/>
  <c r="F8" i="4"/>
  <c r="H8" i="4" s="1"/>
  <c r="I8" i="4" s="1"/>
  <c r="L8" i="4" s="1"/>
  <c r="K7" i="4"/>
  <c r="F7" i="4"/>
  <c r="H7" i="4" s="1"/>
  <c r="I7" i="4" s="1"/>
  <c r="L7" i="4" s="1"/>
  <c r="K6" i="4"/>
  <c r="I6" i="4"/>
  <c r="L6" i="4" s="1"/>
  <c r="H6" i="4"/>
  <c r="F6" i="4"/>
  <c r="K5" i="4"/>
  <c r="K10" i="4" s="1"/>
  <c r="D10" i="1" s="1"/>
  <c r="F5" i="4"/>
  <c r="F10" i="4" s="1"/>
  <c r="B22" i="1" s="1"/>
  <c r="G11" i="3"/>
  <c r="D11" i="3"/>
  <c r="J10" i="3"/>
  <c r="G10" i="3"/>
  <c r="H10" i="3" s="1"/>
  <c r="K10" i="3" s="1"/>
  <c r="J9" i="3"/>
  <c r="H9" i="3"/>
  <c r="K9" i="3" s="1"/>
  <c r="G9" i="3"/>
  <c r="J8" i="3"/>
  <c r="H8" i="3"/>
  <c r="K8" i="3" s="1"/>
  <c r="G8" i="3"/>
  <c r="J7" i="3"/>
  <c r="H7" i="3"/>
  <c r="K7" i="3" s="1"/>
  <c r="G7" i="3"/>
  <c r="J6" i="3"/>
  <c r="J11" i="3" s="1"/>
  <c r="D9" i="1" s="1"/>
  <c r="H6" i="3"/>
  <c r="K6" i="3" s="1"/>
  <c r="G6" i="3"/>
  <c r="J5" i="3"/>
  <c r="H5" i="3"/>
  <c r="K5" i="3" s="1"/>
  <c r="G5" i="3"/>
  <c r="J4" i="3"/>
  <c r="H4" i="3"/>
  <c r="H11" i="3" s="1"/>
  <c r="C9" i="1" s="1"/>
  <c r="E9" i="1" s="1"/>
  <c r="G4" i="3"/>
  <c r="C24" i="2"/>
  <c r="K22" i="2"/>
  <c r="E22" i="2"/>
  <c r="I22" i="2" s="1"/>
  <c r="J22" i="2" s="1"/>
  <c r="L22" i="2" s="1"/>
  <c r="K21" i="2"/>
  <c r="I21" i="2"/>
  <c r="J21" i="2" s="1"/>
  <c r="L21" i="2" s="1"/>
  <c r="E21" i="2"/>
  <c r="J20" i="2"/>
  <c r="I20" i="2"/>
  <c r="E20" i="2"/>
  <c r="K20" i="2" s="1"/>
  <c r="E19" i="2"/>
  <c r="I19" i="2" s="1"/>
  <c r="J19" i="2" s="1"/>
  <c r="E18" i="2"/>
  <c r="I18" i="2" s="1"/>
  <c r="J18" i="2" s="1"/>
  <c r="K17" i="2"/>
  <c r="I17" i="2"/>
  <c r="J17" i="2" s="1"/>
  <c r="L17" i="2" s="1"/>
  <c r="E17" i="2"/>
  <c r="K16" i="2"/>
  <c r="E16" i="2"/>
  <c r="I16" i="2" s="1"/>
  <c r="J16" i="2" s="1"/>
  <c r="L16" i="2" s="1"/>
  <c r="K15" i="2"/>
  <c r="E15" i="2"/>
  <c r="I15" i="2" s="1"/>
  <c r="J15" i="2" s="1"/>
  <c r="L15" i="2" s="1"/>
  <c r="E14" i="2"/>
  <c r="K14" i="2" s="1"/>
  <c r="I13" i="2"/>
  <c r="J13" i="2" s="1"/>
  <c r="E13" i="2"/>
  <c r="K13" i="2" s="1"/>
  <c r="E12" i="2"/>
  <c r="K12" i="2" s="1"/>
  <c r="K11" i="2"/>
  <c r="I11" i="2"/>
  <c r="J11" i="2" s="1"/>
  <c r="L11" i="2" s="1"/>
  <c r="E11" i="2"/>
  <c r="K10" i="2"/>
  <c r="I10" i="2"/>
  <c r="J10" i="2" s="1"/>
  <c r="L10" i="2" s="1"/>
  <c r="E10" i="2"/>
  <c r="K9" i="2"/>
  <c r="I9" i="2"/>
  <c r="J9" i="2" s="1"/>
  <c r="L9" i="2" s="1"/>
  <c r="E9" i="2"/>
  <c r="J8" i="2"/>
  <c r="I8" i="2"/>
  <c r="E8" i="2"/>
  <c r="K8" i="2" s="1"/>
  <c r="E7" i="2"/>
  <c r="I7" i="2" s="1"/>
  <c r="J7" i="2" s="1"/>
  <c r="E6" i="2"/>
  <c r="I6" i="2" s="1"/>
  <c r="J6" i="2" s="1"/>
  <c r="E5" i="2"/>
  <c r="K5" i="2" s="1"/>
  <c r="K4" i="2"/>
  <c r="E4" i="2"/>
  <c r="E24" i="2" s="1"/>
  <c r="B21" i="1" s="1"/>
  <c r="D12" i="1"/>
  <c r="D11" i="1"/>
  <c r="B9" i="1"/>
  <c r="L20" i="2" l="1"/>
  <c r="L13" i="2"/>
  <c r="L18" i="2"/>
  <c r="L8" i="2"/>
  <c r="G13" i="5"/>
  <c r="C11" i="1" s="1"/>
  <c r="E11" i="1" s="1"/>
  <c r="I14" i="2"/>
  <c r="J14" i="2" s="1"/>
  <c r="L14" i="2" s="1"/>
  <c r="I4" i="2"/>
  <c r="K6" i="2"/>
  <c r="L6" i="2" s="1"/>
  <c r="K18" i="2"/>
  <c r="I12" i="2"/>
  <c r="J12" i="2" s="1"/>
  <c r="L12" i="2" s="1"/>
  <c r="G5" i="6"/>
  <c r="I5" i="2"/>
  <c r="J5" i="2" s="1"/>
  <c r="L5" i="2" s="1"/>
  <c r="K7" i="2"/>
  <c r="L7" i="2" s="1"/>
  <c r="K19" i="2"/>
  <c r="L19" i="2" s="1"/>
  <c r="K4" i="3"/>
  <c r="K11" i="3" s="1"/>
  <c r="H5" i="4"/>
  <c r="H10" i="4" l="1"/>
  <c r="B10" i="1" s="1"/>
  <c r="I5" i="4"/>
  <c r="I24" i="2"/>
  <c r="B8" i="1" s="1"/>
  <c r="J4" i="2"/>
  <c r="K24" i="2"/>
  <c r="D8" i="1" s="1"/>
  <c r="D13" i="1" s="1"/>
  <c r="G32" i="6"/>
  <c r="C12" i="1" s="1"/>
  <c r="E12" i="1" s="1"/>
  <c r="I5" i="6"/>
  <c r="I32" i="6" s="1"/>
  <c r="B13" i="1" l="1"/>
  <c r="B24" i="1" s="1"/>
  <c r="J24" i="2"/>
  <c r="C8" i="1" s="1"/>
  <c r="L4" i="2"/>
  <c r="L24" i="2" s="1"/>
  <c r="L5" i="4"/>
  <c r="L10" i="4" s="1"/>
  <c r="I10" i="4"/>
  <c r="C10" i="1" s="1"/>
  <c r="E10" i="1" s="1"/>
  <c r="C13" i="1" l="1"/>
  <c r="E8" i="1"/>
  <c r="B26" i="1"/>
  <c r="B25" i="1"/>
  <c r="E13" i="1" l="1"/>
  <c r="F8" i="1" s="1"/>
  <c r="E15" i="1" l="1"/>
  <c r="F9" i="1"/>
  <c r="F11" i="1"/>
  <c r="F12" i="1"/>
  <c r="F10" i="1"/>
  <c r="E16" i="1" l="1"/>
  <c r="E18" i="1" l="1"/>
  <c r="B23" i="1" s="1"/>
</calcChain>
</file>

<file path=xl/sharedStrings.xml><?xml version="1.0" encoding="utf-8"?>
<sst xmlns="http://schemas.openxmlformats.org/spreadsheetml/2006/main" count="352" uniqueCount="222">
  <si>
    <t>PAINTING ESTIMATE</t>
  </si>
  <si>
    <t>Food Lion Store #1513 Remodel — Asheboro, NC</t>
  </si>
  <si>
    <t>433 State Hwy 49 S., Asheboro, NC 27203</t>
  </si>
  <si>
    <t>Bid Date: March 18, 2026 at 2:00 PM | Prepared by: Carolina Commercial Finishes</t>
  </si>
  <si>
    <t>Date Prepared: March 17, 2026 — SOW-VALIDATED ESTIMATE</t>
  </si>
  <si>
    <t>SCOPE CATEGORY</t>
  </si>
  <si>
    <t>LABOR HRS</t>
  </si>
  <si>
    <t>LABOR $</t>
  </si>
  <si>
    <t>MATERIALS $</t>
  </si>
  <si>
    <t>DIRECT COST</t>
  </si>
  <si>
    <t>% OF TOTAL</t>
  </si>
  <si>
    <t>Interior Walls (20 rooms, SOW-adjusted)</t>
  </si>
  <si>
    <t>Ceilings (Epoxy + GWB + Flat)</t>
  </si>
  <si>
    <t>Doors &amp; Frames (40 units, interior)</t>
  </si>
  <si>
    <t>Exterior Painting</t>
  </si>
  <si>
    <t>Prep, Misc &amp; Equipment</t>
  </si>
  <si>
    <t>DIRECT COST TOTALS</t>
  </si>
  <si>
    <t>100%</t>
  </si>
  <si>
    <t>Direct Cost</t>
  </si>
  <si>
    <t>Overhead (12%)</t>
  </si>
  <si>
    <t>BID PRICE (PAINTING ONLY)</t>
  </si>
  <si>
    <t>KEY METRICS</t>
  </si>
  <si>
    <t>Total Paintable SF (SOW-adjusted):</t>
  </si>
  <si>
    <t>Takeoff Total SF (before SOW adjustment):</t>
  </si>
  <si>
    <t>Blended Rate ($/SF):</t>
  </si>
  <si>
    <t>Total Labor Hours:</t>
  </si>
  <si>
    <t>Estimated Duration (2-man crew):</t>
  </si>
  <si>
    <t>Estimated Duration (3-man crew):</t>
  </si>
  <si>
    <t>Labor Rate (burdened):</t>
  </si>
  <si>
    <t>$28.00/hr</t>
  </si>
  <si>
    <t>EXCLUSIONS</t>
  </si>
  <si>
    <t xml:space="preserve">  •  Wallcovering / decorative wall systems (excluded per client request)</t>
  </si>
  <si>
    <t xml:space="preserve">  •  Electrostatic painting (excluded per client request)</t>
  </si>
  <si>
    <t xml:space="preserve">  •  Floor painting / traffic markings / epoxy floor systems</t>
  </si>
  <si>
    <t xml:space="preserve">  •  Vestibule aluminum/glass walls (GC scope)</t>
  </si>
  <si>
    <t xml:space="preserve">  •  Marlite installation and finishing (GC scope)</t>
  </si>
  <si>
    <t xml:space="preserve">  •  FRP installation (GC scope)</t>
  </si>
  <si>
    <t xml:space="preserve">  •  Ceramic/quarry tile surfaces</t>
  </si>
  <si>
    <t xml:space="preserve">  •  Cooler/freezer panel surfaces and interiors</t>
  </si>
  <si>
    <t xml:space="preserve">  •  Stainless steel surfaces and trim</t>
  </si>
  <si>
    <t xml:space="preserve">  •  Aluminum surfaces and storefront</t>
  </si>
  <si>
    <t xml:space="preserve">  •  Sales Floor / Backroom / Receiving exposed structure ceilings (remain as-is per RCP A1.04)</t>
  </si>
  <si>
    <t xml:space="preserve">  •  Exterior CMU / concrete block walls (CONFLEX XL — price separately if required)</t>
  </si>
  <si>
    <t xml:space="preserve">  •  Standing seam metal roof painting</t>
  </si>
  <si>
    <t xml:space="preserve">  •  Pressure washing (GC scope)</t>
  </si>
  <si>
    <t xml:space="preserve">  •  Asbestos abatement</t>
  </si>
  <si>
    <t>NOTES</t>
  </si>
  <si>
    <t xml:space="preserve">  •  All paint from Sherwin-Williams ONLY — National Account #C137</t>
  </si>
  <si>
    <t xml:space="preserve">  •  Sales area painting is NIGHT WORK ONLY (10 PM – 8 AM per walk notes)</t>
  </si>
  <si>
    <t xml:space="preserve">  •  Restroom &amp; prep room ceiling paint AFTER new light fixtures installed</t>
  </si>
  <si>
    <t xml:space="preserve">  •  Active operating store — all work coordinated with store manager</t>
  </si>
  <si>
    <t xml:space="preserve">  •  Interior wall SF validated per SOW (see Interior Walls tab for breakdown)</t>
  </si>
  <si>
    <t xml:space="preserve">  •  Exposed structure ceilings rated at 100-125 SF/hr (not flat ceiling rate)</t>
  </si>
  <si>
    <t xml:space="preserve">  •  Door prep: sand smooth, remove silicone/adhesive, spot prime bare steel, P+2</t>
  </si>
  <si>
    <t xml:space="preserve">  •  Exterior metals: all previously painted surfaces — bollards, cart corral, alarm box, hatches, dock stairs</t>
  </si>
  <si>
    <t>INTERIOR WALLS — SOW-VALIDATED BREAKDOWN</t>
  </si>
  <si>
    <t>Room #</t>
  </si>
  <si>
    <t>Room Name</t>
  </si>
  <si>
    <t>Takeoff SF</t>
  </si>
  <si>
    <t>SOW %</t>
  </si>
  <si>
    <t>Paint SF</t>
  </si>
  <si>
    <t>Method</t>
  </si>
  <si>
    <t>Coats</t>
  </si>
  <si>
    <t>Paint System</t>
  </si>
  <si>
    <t>Labor Hrs</t>
  </si>
  <si>
    <t>Labor $</t>
  </si>
  <si>
    <t>Material $</t>
  </si>
  <si>
    <t>Total $</t>
  </si>
  <si>
    <t>Night</t>
  </si>
  <si>
    <t>103</t>
  </si>
  <si>
    <t>Sales Floor Walls</t>
  </si>
  <si>
    <t>Spray</t>
  </si>
  <si>
    <t>P+2</t>
  </si>
  <si>
    <t>ProBlock Primer + ProMar 200 Eg-Shel</t>
  </si>
  <si>
    <t>Y</t>
  </si>
  <si>
    <t>103C</t>
  </si>
  <si>
    <t>Sales Floor Columns</t>
  </si>
  <si>
    <t>B&amp;R</t>
  </si>
  <si>
    <t>SP+2</t>
  </si>
  <si>
    <t>Spot Prime + Pre-Cat Epoxy SG K46</t>
  </si>
  <si>
    <t>100</t>
  </si>
  <si>
    <t>Front End / Vestibule Walls</t>
  </si>
  <si>
    <t>100T</t>
  </si>
  <si>
    <t>Ecomm Area — Pine Trim over Marlite</t>
  </si>
  <si>
    <t>ProMar 200 SG</t>
  </si>
  <si>
    <t>111</t>
  </si>
  <si>
    <t>Backroom Walls</t>
  </si>
  <si>
    <t>Spray+BR</t>
  </si>
  <si>
    <t>ProMar 200 Eg-Shel</t>
  </si>
  <si>
    <t>101</t>
  </si>
  <si>
    <t>Breakroom / Lounge</t>
  </si>
  <si>
    <t>Spot Prime + ProMar 200 Eg-Shel</t>
  </si>
  <si>
    <t>102</t>
  </si>
  <si>
    <t>Restrooms</t>
  </si>
  <si>
    <t>120</t>
  </si>
  <si>
    <t>Managers Office</t>
  </si>
  <si>
    <t>118</t>
  </si>
  <si>
    <t>Receiving</t>
  </si>
  <si>
    <t>Spot Prime + Pre-Cat Epoxy Eg-Shel K45</t>
  </si>
  <si>
    <t>116</t>
  </si>
  <si>
    <t>Elec. Room</t>
  </si>
  <si>
    <t>115</t>
  </si>
  <si>
    <t>Mech. Room</t>
  </si>
  <si>
    <t>117</t>
  </si>
  <si>
    <t>Compressor Room</t>
  </si>
  <si>
    <t>114</t>
  </si>
  <si>
    <t>Janitor / Storage</t>
  </si>
  <si>
    <t>113</t>
  </si>
  <si>
    <t>Deli/Bakery Prep</t>
  </si>
  <si>
    <t>BF+2</t>
  </si>
  <si>
    <t>Kem Cati-Coat Filler + Macropoxy 646</t>
  </si>
  <si>
    <t>112</t>
  </si>
  <si>
    <t>Meat Prep</t>
  </si>
  <si>
    <t>110</t>
  </si>
  <si>
    <t>Produce Prep</t>
  </si>
  <si>
    <t>109</t>
  </si>
  <si>
    <t>Office</t>
  </si>
  <si>
    <t>108</t>
  </si>
  <si>
    <t>Cash Office</t>
  </si>
  <si>
    <t>104</t>
  </si>
  <si>
    <t>DSD Vestibule</t>
  </si>
  <si>
    <t>105</t>
  </si>
  <si>
    <t>Corridor / Back of House</t>
  </si>
  <si>
    <t>0%</t>
  </si>
  <si>
    <t>(included in adjacent room measurements)</t>
  </si>
  <si>
    <t>TOTAL — Interior Walls</t>
  </si>
  <si>
    <t>SOW ADJUSTMENT NOTES</t>
  </si>
  <si>
    <t xml:space="preserve">  •  All rooms at 100% SOW — full wall painting scope per drawings and specifications</t>
  </si>
  <si>
    <t xml:space="preserve">  •  Room 105 Corridor: SF included within adjacent room measurements (backroom, receiving)</t>
  </si>
  <si>
    <t xml:space="preserve">  •  Sales floor columns counted separately from walls — different substrate and paint system</t>
  </si>
  <si>
    <t xml:space="preserve">  •  Ecomm pine trim: trim over Marlite only, not full wall — measured from walk notes</t>
  </si>
  <si>
    <t xml:space="preserve">  •  Exposed structure ceilings EXCLUDED per RCP A1.04 — remain as-is (see Ceilings tab)</t>
  </si>
  <si>
    <t>CEILINGS — BY TYPE &amp; AREA</t>
  </si>
  <si>
    <t>Area / Room</t>
  </si>
  <si>
    <t>Ceiling Type</t>
  </si>
  <si>
    <t>Total SF</t>
  </si>
  <si>
    <t>Prod Rate</t>
  </si>
  <si>
    <t>Mat $/SF</t>
  </si>
  <si>
    <t>Room 113 — Deli/Bakery Prep Ceiling</t>
  </si>
  <si>
    <t>GWB (existing)</t>
  </si>
  <si>
    <t>Macropoxy 646 Epoxy P-4(D)</t>
  </si>
  <si>
    <t>Room 102 — Restrooms Ceiling</t>
  </si>
  <si>
    <t>Room 100 — Vestibule Ceiling</t>
  </si>
  <si>
    <t>ProMar 200 Flat</t>
  </si>
  <si>
    <t>Room 112 — Meat Prep Ceiling</t>
  </si>
  <si>
    <t>Plywood (existing)</t>
  </si>
  <si>
    <t>Macropoxy 646 Epoxy P-4(B)</t>
  </si>
  <si>
    <t>Room 110 — Produce Prep Ceiling</t>
  </si>
  <si>
    <t>Meat Office Ceiling</t>
  </si>
  <si>
    <t>Room 115 — Mech Room Ceiling</t>
  </si>
  <si>
    <t>Existing Ceiling</t>
  </si>
  <si>
    <t>TOTAL — Ceilings</t>
  </si>
  <si>
    <t>NOTE: Per RCP Sheet A1.04, Sales Floor / Backroom / Receiving exposed structure ceilings = NO PAINT (remain as-is). Only prep rooms and utilities with 'PREP AND PAINT' callouts included. Exposed structure rates: 100-125 SF/hr, NOT flat ceiling 300 SF/hr.</t>
  </si>
  <si>
    <t>DOORS &amp; FRAMES — ITEMIZED</t>
  </si>
  <si>
    <t>Item #</t>
  </si>
  <si>
    <t>Description</t>
  </si>
  <si>
    <t>Qty</t>
  </si>
  <si>
    <t>SF/EA</t>
  </si>
  <si>
    <t>Mat $/EA</t>
  </si>
  <si>
    <t>INTERIOR — Doors, Frames &amp; Specialty</t>
  </si>
  <si>
    <t>Single Swing HM Doors &amp; Frames</t>
  </si>
  <si>
    <t>Pre-Cat Epoxy SG K46W150</t>
  </si>
  <si>
    <t>Double Swing HM Doors &amp; Frames</t>
  </si>
  <si>
    <t>Sliding Door Frames (touch-up)</t>
  </si>
  <si>
    <t>Automatic Door Packages (4 sets)</t>
  </si>
  <si>
    <t>DTM Acrylic SG</t>
  </si>
  <si>
    <t>Office Safe (inside &amp; sales side)</t>
  </si>
  <si>
    <t>ProMar 200 SG Macadamia</t>
  </si>
  <si>
    <t>TOTAL — Doors &amp; Frames (Interior)</t>
  </si>
  <si>
    <t>NOTE: Door prep per walk notes — sand smooth, remove silicone/adhesive, spot prime bare steel. Exterior doors/metals are in the Exterior tab.</t>
  </si>
  <si>
    <t>EXTERIOR PAINTING</t>
  </si>
  <si>
    <t>Qty / SF</t>
  </si>
  <si>
    <t>Unit</t>
  </si>
  <si>
    <t>Exterior HM Doors &amp; Frames (6 ea)</t>
  </si>
  <si>
    <t>SF</t>
  </si>
  <si>
    <t>Bollards — traffic yellow (8 ea)</t>
  </si>
  <si>
    <t>Cart Corral — Grizzle Gray SW 7068</t>
  </si>
  <si>
    <t>Alarm Box / Bell under Canopy</t>
  </si>
  <si>
    <t>Access Hatches (2 ea)</t>
  </si>
  <si>
    <t>Metal Lintels / Misc. Metals</t>
  </si>
  <si>
    <t>Rear Dock Stairs &amp; Canopy Supports</t>
  </si>
  <si>
    <t>Light Pole Bases — prev. painted (4 ea)</t>
  </si>
  <si>
    <t>Dock Door Number Stenciling</t>
  </si>
  <si>
    <t>LS</t>
  </si>
  <si>
    <t>-</t>
  </si>
  <si>
    <t>TOTAL — Exterior</t>
  </si>
  <si>
    <t>NOTE: All exterior metals previously painted. Paint system: DTM Acrylic SG or All Surface Enamel per walk notes. Cart corral = Grizzle Gray SW 7068. Bollards = OSHA Traffic Yellow.</t>
  </si>
  <si>
    <t>PREP, MISC &amp; EQUIPMENT</t>
  </si>
  <si>
    <t>Hrs/Unit</t>
  </si>
  <si>
    <t>Total Hrs</t>
  </si>
  <si>
    <t>SURFACE PREPARATION</t>
  </si>
  <si>
    <t>Surface prep — scrape tape/caulk/residues all rooms</t>
  </si>
  <si>
    <t>Skim/patch walls — spot Level 3 (sales area)</t>
  </si>
  <si>
    <t>Skim/patch walls (back of house)</t>
  </si>
  <si>
    <t>Sand/degloss columns (120 grit)</t>
  </si>
  <si>
    <t>EA</t>
  </si>
  <si>
    <t>Prime bare/repaired areas — Extreme Bond Primer</t>
  </si>
  <si>
    <t>Prime bare GWB — ProBlock Oil Based (sales area)</t>
  </si>
  <si>
    <t>CAULKING &amp; SEALANT</t>
  </si>
  <si>
    <t>Caulk fixtures — restrooms/corridors/prep areas</t>
  </si>
  <si>
    <t>Caulk pine trim over Marlite after GC install</t>
  </si>
  <si>
    <t>Caulk abandoned holes (Produce/Meat Prep)</t>
  </si>
  <si>
    <t>MASKING &amp; PROTECTION</t>
  </si>
  <si>
    <t>Masking/protection — sales area walls (night work)</t>
  </si>
  <si>
    <t>Masking/protection — back of house</t>
  </si>
  <si>
    <t>Ceiling protection/drop cloths (prep rooms)</t>
  </si>
  <si>
    <t>MEP / MISCELLANEOUS PAINTING</t>
  </si>
  <si>
    <t>Paint PVC chase pipes on cases (match columns)</t>
  </si>
  <si>
    <t>Paint electrical panels (Macadamia)</t>
  </si>
  <si>
    <t>Paint angle behind safe</t>
  </si>
  <si>
    <t>Paint underside of shelves (walk notes)</t>
  </si>
  <si>
    <t>Paint deli bulkhead GWB repairs</t>
  </si>
  <si>
    <t>Stencil store numbers — dock doors/roll-up doors</t>
  </si>
  <si>
    <t>TOUCH-UP</t>
  </si>
  <si>
    <t>Touch-up after GC/trades work</t>
  </si>
  <si>
    <t>Spot prime &amp; touch-up after fixture install</t>
  </si>
  <si>
    <t>MOBILIZATION &amp; EQUIPMENT</t>
  </si>
  <si>
    <t>Mobilization / demobilization</t>
  </si>
  <si>
    <t>Baker scaffold (prep room ceilings)</t>
  </si>
  <si>
    <t>WK</t>
  </si>
  <si>
    <t>TOTAL — Prep &amp; Misc</t>
  </si>
  <si>
    <t>NOTE: Night work premium included in labor rates. Sales area painting, ceiling, and drywall work must be done 10pm-8am per walk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</si>
</sst>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\$#,##0.00"/>
    <numFmt numFmtId="166" formatCode="0.0%"/>
  </numFmts>
  <fonts count="15" x14ac:knownFonts="1">
    <font>
      <sz val="11"/>
      <color theme="1"/>
      <name val="Calibri"/>
      <family val="2"/>
      <charset val="1"/>
    </font>
    <font>
      <b/>
      <sz val="14"/>
      <color rgb="FF0D1B2A"/>
      <name val="Georgia"/>
      <charset val="1"/>
    </font>
    <font>
      <b/>
      <sz val="11"/>
      <color rgb="FF0D1B2A"/>
      <name val="Georgia"/>
      <charset val="1"/>
    </font>
    <font>
      <i/>
      <sz val="9"/>
      <color rgb="FF6B7280"/>
      <name val="Calibri"/>
      <charset val="1"/>
    </font>
    <font>
      <b/>
      <sz val="10"/>
      <color rgb="FFFFFFFF"/>
      <name val="Calibri"/>
      <charset val="1"/>
    </font>
    <font>
      <sz val="10"/>
      <color rgb="FF1F2937"/>
      <name val="Calibri"/>
      <charset val="1"/>
    </font>
    <font>
      <sz val="10"/>
      <color rgb="FF008000"/>
      <name val="Calibri"/>
      <charset val="1"/>
    </font>
    <font>
      <b/>
      <sz val="11"/>
      <color rgb="FFFFFFFF"/>
      <name val="Calibri"/>
      <charset val="1"/>
    </font>
    <font>
      <b/>
      <sz val="10"/>
      <color rgb="FF1F2937"/>
      <name val="Calibri"/>
      <charset val="1"/>
    </font>
    <font>
      <b/>
      <sz val="12"/>
      <color rgb="FF008000"/>
      <name val="Georgia"/>
      <charset val="1"/>
    </font>
    <font>
      <sz val="10"/>
      <color rgb="FF0000FF"/>
      <name val="Calibri"/>
      <charset val="1"/>
    </font>
    <font>
      <b/>
      <sz val="11"/>
      <color rgb="FFCC0000"/>
      <name val="Georgia"/>
      <charset val="1"/>
    </font>
    <font>
      <b/>
      <sz val="10"/>
      <color rgb="FFCC0000"/>
      <name val="Calibri"/>
      <charset val="1"/>
    </font>
    <font>
      <b/>
      <sz val="10"/>
      <color rgb="FF0D1B2A"/>
      <name val="Calibri"/>
      <charset val="1"/>
    </font>
    <font>
      <sz val="11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0D1B2A"/>
        <bgColor rgb="FF1F2937"/>
      </patternFill>
    </fill>
    <fill>
      <patternFill patternType="solid">
        <fgColor rgb="FFF3F4F6"/>
        <bgColor rgb="FFE8F5E9"/>
      </patternFill>
    </fill>
    <fill>
      <patternFill patternType="solid">
        <fgColor rgb="FFE8F5E9"/>
        <bgColor rgb="FFF3F4F6"/>
      </patternFill>
    </fill>
    <fill>
      <patternFill patternType="solid">
        <fgColor rgb="FFFFF9C4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166" fontId="6" fillId="3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0" fontId="7" fillId="2" borderId="0" xfId="0" applyFont="1" applyFill="1"/>
    <xf numFmtId="164" fontId="7" fillId="2" borderId="0" xfId="0" applyNumberFormat="1" applyFont="1" applyFill="1" applyAlignment="1">
      <alignment horizontal="right" vertical="center"/>
    </xf>
    <xf numFmtId="165" fontId="7" fillId="2" borderId="0" xfId="0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8" fillId="0" borderId="0" xfId="0" applyFont="1"/>
    <xf numFmtId="0" fontId="9" fillId="4" borderId="0" xfId="0" applyFont="1" applyFill="1"/>
    <xf numFmtId="0" fontId="0" fillId="4" borderId="0" xfId="0" applyFill="1"/>
    <xf numFmtId="165" fontId="9" fillId="4" borderId="0" xfId="0" applyNumberFormat="1" applyFont="1" applyFill="1" applyAlignment="1">
      <alignment horizontal="right" vertical="center"/>
    </xf>
    <xf numFmtId="0" fontId="5" fillId="0" borderId="0" xfId="0" applyFont="1"/>
    <xf numFmtId="3" fontId="6" fillId="0" borderId="0" xfId="0" applyNumberFormat="1" applyFont="1"/>
    <xf numFmtId="3" fontId="3" fillId="0" borderId="0" xfId="0" applyNumberFormat="1" applyFont="1"/>
    <xf numFmtId="165" fontId="6" fillId="0" borderId="0" xfId="0" applyNumberFormat="1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3" fontId="3" fillId="3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3" fontId="10" fillId="3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0" fontId="10" fillId="5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7" fillId="2" borderId="0" xfId="0" applyNumberFormat="1" applyFont="1" applyFill="1" applyAlignment="1">
      <alignment horizontal="right" vertical="center"/>
    </xf>
    <xf numFmtId="3" fontId="5" fillId="3" borderId="0" xfId="0" applyNumberFormat="1" applyFont="1" applyFill="1" applyAlignment="1">
      <alignment horizontal="right" vertical="center"/>
    </xf>
    <xf numFmtId="165" fontId="5" fillId="3" borderId="0" xfId="0" applyNumberFormat="1" applyFont="1" applyFill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3" fontId="6" fillId="3" borderId="0" xfId="0" applyNumberFormat="1" applyFont="1" applyFill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7" fillId="2" borderId="0" xfId="0" applyNumberFormat="1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165" fontId="7" fillId="2" borderId="0" xfId="0" applyNumberFormat="1" applyFont="1" applyFill="1" applyAlignment="1">
      <alignment horizontal="right"/>
    </xf>
    <xf numFmtId="0" fontId="14" fillId="0" borderId="0" xfId="0" applyFont="1"/>
    <xf numFmtId="4" fontId="5" fillId="3" borderId="0" xfId="0" applyNumberFormat="1" applyFont="1" applyFill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B7280"/>
      <rgbColor rgb="FF969696"/>
      <rgbColor rgb="FF0D47A1"/>
      <rgbColor rgb="FF339966"/>
      <rgbColor rgb="FF0D1B2A"/>
      <rgbColor rgb="FF1B5E20"/>
      <rgbColor rgb="FFBF360C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A1:F54"/>
  <sheetViews>
    <sheetView tabSelected="1" zoomScaleNormal="100" workbookViewId="0">
      <selection activeCell="H21" sqref="H21"/>
    </sheetView>
  </sheetViews>
  <sheetFormatPr defaultColWidth="8.7109375" defaultRowHeight="15" customHeight="1" x14ac:dyDescent="0.25"/>
  <cols>
    <col min="1" max="1" width="44" customWidth="1"/>
    <col min="2" max="2" width="16" customWidth="1"/>
    <col min="3" max="4" width="14" customWidth="1"/>
    <col min="5" max="5" width="16" customWidth="1"/>
    <col min="6" max="6" width="14" customWidth="1"/>
  </cols>
  <sheetData>
    <row r="1" spans="1:6" ht="18" customHeight="1" x14ac:dyDescent="0.25">
      <c r="A1" s="5" t="s">
        <v>0</v>
      </c>
      <c r="B1" s="5"/>
      <c r="C1" s="5"/>
      <c r="D1" s="5"/>
      <c r="E1" s="5"/>
      <c r="F1" s="5"/>
    </row>
    <row r="2" spans="1:6" ht="15" customHeight="1" x14ac:dyDescent="0.25">
      <c r="A2" s="4" t="s">
        <v>1</v>
      </c>
      <c r="B2" s="4"/>
      <c r="C2" s="4"/>
      <c r="D2" s="4"/>
      <c r="E2" s="4"/>
      <c r="F2" s="4"/>
    </row>
    <row r="3" spans="1:6" ht="15" customHeight="1" x14ac:dyDescent="0.25">
      <c r="A3" s="3" t="s">
        <v>2</v>
      </c>
      <c r="B3" s="3"/>
      <c r="C3" s="3"/>
      <c r="D3" s="3"/>
      <c r="E3" s="3"/>
      <c r="F3" s="3"/>
    </row>
    <row r="4" spans="1:6" ht="15" customHeight="1" x14ac:dyDescent="0.25">
      <c r="A4" s="3" t="s">
        <v>3</v>
      </c>
      <c r="B4" s="3"/>
      <c r="C4" s="3"/>
      <c r="D4" s="3"/>
      <c r="E4" s="3"/>
      <c r="F4" s="3"/>
    </row>
    <row r="5" spans="1:6" ht="15" customHeight="1" x14ac:dyDescent="0.25">
      <c r="A5" s="3" t="s">
        <v>4</v>
      </c>
      <c r="B5" s="3"/>
      <c r="C5" s="3"/>
      <c r="D5" s="3"/>
      <c r="E5" s="3"/>
      <c r="F5" s="3"/>
    </row>
    <row r="7" spans="1:6" ht="15" customHeight="1" x14ac:dyDescent="0.25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</row>
    <row r="8" spans="1:6" ht="15" customHeight="1" x14ac:dyDescent="0.25">
      <c r="A8" s="9" t="s">
        <v>11</v>
      </c>
      <c r="B8" s="10">
        <f>'Interior Walls'!I24</f>
        <v>313.35447619047619</v>
      </c>
      <c r="C8" s="11">
        <f>'Interior Walls'!J24</f>
        <v>8773.9253333333327</v>
      </c>
      <c r="D8" s="11">
        <f>'Interior Walls'!K24</f>
        <v>6351.16</v>
      </c>
      <c r="E8" s="11">
        <f>C8+D8</f>
        <v>15125.085333333333</v>
      </c>
      <c r="F8" s="12">
        <f>E8/E13</f>
        <v>0.58038520629926782</v>
      </c>
    </row>
    <row r="9" spans="1:6" ht="15" customHeight="1" x14ac:dyDescent="0.25">
      <c r="A9" s="13" t="s">
        <v>12</v>
      </c>
      <c r="B9" s="14">
        <f>Ceilings!G11</f>
        <v>39.133333333333333</v>
      </c>
      <c r="C9" s="15">
        <f>Ceilings!H11</f>
        <v>1095.7333333333333</v>
      </c>
      <c r="D9" s="15">
        <f>Ceilings!J11</f>
        <v>1049</v>
      </c>
      <c r="E9" s="15">
        <f>C9+D9</f>
        <v>2144.7333333333336</v>
      </c>
      <c r="F9" s="16">
        <f>E9/E13</f>
        <v>8.2298477707117512E-2</v>
      </c>
    </row>
    <row r="10" spans="1:6" ht="15" customHeight="1" x14ac:dyDescent="0.25">
      <c r="A10" s="9" t="s">
        <v>13</v>
      </c>
      <c r="B10" s="10">
        <f>'Doors &amp; Frames'!H10</f>
        <v>67.033333333333331</v>
      </c>
      <c r="C10" s="11">
        <f>'Doors &amp; Frames'!I10</f>
        <v>1876.9333333333334</v>
      </c>
      <c r="D10" s="11">
        <f>'Doors &amp; Frames'!K10</f>
        <v>376</v>
      </c>
      <c r="E10" s="11">
        <f>C10+D10</f>
        <v>2252.9333333333334</v>
      </c>
      <c r="F10" s="12">
        <f>E10/E13</f>
        <v>8.6450366965102998E-2</v>
      </c>
    </row>
    <row r="11" spans="1:6" ht="15" customHeight="1" x14ac:dyDescent="0.25">
      <c r="A11" s="13" t="s">
        <v>14</v>
      </c>
      <c r="B11" s="14">
        <f>Exterior!F13</f>
        <v>26.863333333333333</v>
      </c>
      <c r="C11" s="15">
        <f>Exterior!G13</f>
        <v>752.17333333333329</v>
      </c>
      <c r="D11" s="15">
        <f>Exterior!H13</f>
        <v>143.5</v>
      </c>
      <c r="E11" s="15">
        <f>C11+D11</f>
        <v>895.67333333333329</v>
      </c>
      <c r="F11" s="16">
        <f>E11/E13</f>
        <v>3.4369098810820127E-2</v>
      </c>
    </row>
    <row r="12" spans="1:6" ht="15" customHeight="1" x14ac:dyDescent="0.25">
      <c r="A12" s="9" t="s">
        <v>15</v>
      </c>
      <c r="B12" s="10">
        <f>'Prep &amp; Misc'!F32</f>
        <v>156.5</v>
      </c>
      <c r="C12" s="11">
        <f>'Prep &amp; Misc'!G32</f>
        <v>4382</v>
      </c>
      <c r="D12" s="11">
        <f>'Prep &amp; Misc'!H32</f>
        <v>1260</v>
      </c>
      <c r="E12" s="11">
        <f>C12+D12</f>
        <v>5642</v>
      </c>
      <c r="F12" s="12">
        <f>E12/E13</f>
        <v>0.21649685021769152</v>
      </c>
    </row>
    <row r="13" spans="1:6" ht="15" customHeight="1" x14ac:dyDescent="0.25">
      <c r="A13" s="17" t="s">
        <v>16</v>
      </c>
      <c r="B13" s="18">
        <f>SUM(B8:B12)</f>
        <v>602.88447619047622</v>
      </c>
      <c r="C13" s="19">
        <f>SUM(C8:C12)</f>
        <v>16880.765333333336</v>
      </c>
      <c r="D13" s="19">
        <f>SUM(D8:D12)</f>
        <v>9179.66</v>
      </c>
      <c r="E13" s="19">
        <f>SUM(E8:E12)</f>
        <v>26060.425333333333</v>
      </c>
      <c r="F13" s="20" t="s">
        <v>17</v>
      </c>
    </row>
    <row r="15" spans="1:6" ht="15" customHeight="1" x14ac:dyDescent="0.25">
      <c r="A15" s="21" t="s">
        <v>18</v>
      </c>
      <c r="E15" s="15">
        <f>E13</f>
        <v>26060.425333333333</v>
      </c>
    </row>
    <row r="16" spans="1:6" ht="15" customHeight="1" x14ac:dyDescent="0.25">
      <c r="A16" s="21" t="s">
        <v>19</v>
      </c>
      <c r="E16" s="15">
        <f>E15*0.12</f>
        <v>3127.2510399999996</v>
      </c>
    </row>
    <row r="17" spans="1:6" ht="15" customHeight="1" x14ac:dyDescent="0.25">
      <c r="A17" s="21"/>
      <c r="E17" s="15"/>
    </row>
    <row r="18" spans="1:6" ht="15.75" customHeight="1" x14ac:dyDescent="0.25">
      <c r="A18" s="22" t="s">
        <v>20</v>
      </c>
      <c r="B18" s="23"/>
      <c r="C18" s="23"/>
      <c r="D18" s="23"/>
      <c r="E18" s="24">
        <f>E15+E16+E17</f>
        <v>29187.676373333332</v>
      </c>
      <c r="F18" s="23"/>
    </row>
    <row r="20" spans="1:6" ht="15" customHeight="1" x14ac:dyDescent="0.25">
      <c r="A20" s="6" t="s">
        <v>21</v>
      </c>
    </row>
    <row r="21" spans="1:6" ht="15" customHeight="1" x14ac:dyDescent="0.25">
      <c r="A21" s="25" t="s">
        <v>22</v>
      </c>
      <c r="B21" s="26">
        <f>'Interior Walls'!E24+Ceilings!D11+'Doors &amp; Frames'!F10+Exterior!C13</f>
        <v>27618</v>
      </c>
    </row>
    <row r="22" spans="1:6" ht="15" customHeight="1" x14ac:dyDescent="0.25">
      <c r="A22" s="25" t="s">
        <v>23</v>
      </c>
      <c r="B22" s="27">
        <f>'Interior Walls'!C24+Ceilings!D11+'Doors &amp; Frames'!F10+Exterior!C13</f>
        <v>27618</v>
      </c>
    </row>
    <row r="23" spans="1:6" ht="15" customHeight="1" x14ac:dyDescent="0.25">
      <c r="A23" s="25" t="s">
        <v>24</v>
      </c>
      <c r="B23" s="28">
        <f>E18/B21</f>
        <v>1.0568352658893958</v>
      </c>
    </row>
    <row r="24" spans="1:6" ht="15" customHeight="1" x14ac:dyDescent="0.25">
      <c r="A24" s="25" t="s">
        <v>25</v>
      </c>
      <c r="B24" s="26">
        <f>B13</f>
        <v>602.88447619047622</v>
      </c>
    </row>
    <row r="25" spans="1:6" ht="15" customHeight="1" x14ac:dyDescent="0.25">
      <c r="A25" s="25" t="s">
        <v>26</v>
      </c>
      <c r="B25" s="29" t="str">
        <f>ROUNDUP(B24/(2*8),0)&amp;" days"</f>
        <v>38 days</v>
      </c>
    </row>
    <row r="26" spans="1:6" ht="15" customHeight="1" x14ac:dyDescent="0.25">
      <c r="A26" s="25" t="s">
        <v>27</v>
      </c>
      <c r="B26" s="29" t="str">
        <f>ROUNDUP(B24/(3*8),0)&amp;" days"</f>
        <v>26 days</v>
      </c>
    </row>
    <row r="27" spans="1:6" ht="15" customHeight="1" x14ac:dyDescent="0.25">
      <c r="A27" s="25" t="s">
        <v>28</v>
      </c>
      <c r="B27" s="30" t="s">
        <v>29</v>
      </c>
    </row>
    <row r="29" spans="1:6" ht="15" customHeight="1" x14ac:dyDescent="0.25">
      <c r="A29" s="31" t="s">
        <v>30</v>
      </c>
    </row>
    <row r="30" spans="1:6" ht="15" customHeight="1" x14ac:dyDescent="0.25">
      <c r="A30" s="32" t="s">
        <v>31</v>
      </c>
    </row>
    <row r="31" spans="1:6" ht="15" customHeight="1" x14ac:dyDescent="0.25">
      <c r="A31" s="32" t="s">
        <v>32</v>
      </c>
    </row>
    <row r="32" spans="1:6" ht="15" customHeight="1" x14ac:dyDescent="0.25">
      <c r="A32" s="32" t="s">
        <v>33</v>
      </c>
    </row>
    <row r="33" spans="1:1" ht="15" customHeight="1" x14ac:dyDescent="0.25">
      <c r="A33" s="32" t="s">
        <v>34</v>
      </c>
    </row>
    <row r="34" spans="1:1" ht="15" customHeight="1" x14ac:dyDescent="0.25">
      <c r="A34" s="32" t="s">
        <v>35</v>
      </c>
    </row>
    <row r="35" spans="1:1" ht="15" customHeight="1" x14ac:dyDescent="0.25">
      <c r="A35" s="32" t="s">
        <v>36</v>
      </c>
    </row>
    <row r="36" spans="1:1" ht="15" customHeight="1" x14ac:dyDescent="0.25">
      <c r="A36" s="32" t="s">
        <v>37</v>
      </c>
    </row>
    <row r="37" spans="1:1" ht="15" customHeight="1" x14ac:dyDescent="0.25">
      <c r="A37" s="32" t="s">
        <v>38</v>
      </c>
    </row>
    <row r="38" spans="1:1" ht="15" customHeight="1" x14ac:dyDescent="0.25">
      <c r="A38" s="32" t="s">
        <v>39</v>
      </c>
    </row>
    <row r="39" spans="1:1" ht="15" customHeight="1" x14ac:dyDescent="0.25">
      <c r="A39" s="32" t="s">
        <v>40</v>
      </c>
    </row>
    <row r="40" spans="1:1" ht="15" customHeight="1" x14ac:dyDescent="0.25">
      <c r="A40" s="32" t="s">
        <v>41</v>
      </c>
    </row>
    <row r="41" spans="1:1" ht="15" customHeight="1" x14ac:dyDescent="0.25">
      <c r="A41" s="32" t="s">
        <v>42</v>
      </c>
    </row>
    <row r="42" spans="1:1" ht="15" customHeight="1" x14ac:dyDescent="0.25">
      <c r="A42" s="32" t="s">
        <v>43</v>
      </c>
    </row>
    <row r="43" spans="1:1" ht="15" customHeight="1" x14ac:dyDescent="0.25">
      <c r="A43" s="32" t="s">
        <v>44</v>
      </c>
    </row>
    <row r="44" spans="1:1" ht="15" customHeight="1" x14ac:dyDescent="0.25">
      <c r="A44" s="32" t="s">
        <v>45</v>
      </c>
    </row>
    <row r="46" spans="1:1" ht="15" customHeight="1" x14ac:dyDescent="0.25">
      <c r="A46" s="6" t="s">
        <v>46</v>
      </c>
    </row>
    <row r="47" spans="1:1" ht="15" customHeight="1" x14ac:dyDescent="0.25">
      <c r="A47" s="7" t="s">
        <v>47</v>
      </c>
    </row>
    <row r="48" spans="1:1" ht="15" customHeight="1" x14ac:dyDescent="0.25">
      <c r="A48" s="7" t="s">
        <v>48</v>
      </c>
    </row>
    <row r="49" spans="1:1" ht="15" customHeight="1" x14ac:dyDescent="0.25">
      <c r="A49" s="7" t="s">
        <v>49</v>
      </c>
    </row>
    <row r="50" spans="1:1" ht="15" customHeight="1" x14ac:dyDescent="0.25">
      <c r="A50" s="7" t="s">
        <v>50</v>
      </c>
    </row>
    <row r="51" spans="1:1" ht="15" customHeight="1" x14ac:dyDescent="0.25">
      <c r="A51" s="7" t="s">
        <v>51</v>
      </c>
    </row>
    <row r="52" spans="1:1" ht="15" customHeight="1" x14ac:dyDescent="0.25">
      <c r="A52" s="7" t="s">
        <v>52</v>
      </c>
    </row>
    <row r="53" spans="1:1" ht="15" customHeight="1" x14ac:dyDescent="0.25">
      <c r="A53" s="7" t="s">
        <v>53</v>
      </c>
    </row>
    <row r="54" spans="1:1" ht="15" customHeight="1" x14ac:dyDescent="0.25">
      <c r="A54" s="7" t="s">
        <v>54</v>
      </c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47A1"/>
  </sheetPr>
  <dimension ref="A1:M31"/>
  <sheetViews>
    <sheetView zoomScaleNormal="100" workbookViewId="0">
      <selection sqref="A1:M1"/>
    </sheetView>
  </sheetViews>
  <sheetFormatPr defaultColWidth="8.7109375" defaultRowHeight="15" customHeight="1" x14ac:dyDescent="0.25"/>
  <cols>
    <col min="1" max="1" width="8" customWidth="1"/>
    <col min="2" max="2" width="38" customWidth="1"/>
    <col min="3" max="3" width="12" customWidth="1"/>
    <col min="4" max="4" width="8" customWidth="1"/>
    <col min="5" max="5" width="12" customWidth="1"/>
    <col min="6" max="6" width="10" customWidth="1"/>
    <col min="7" max="7" width="8" customWidth="1"/>
    <col min="8" max="8" width="40" customWidth="1"/>
    <col min="9" max="9" width="12" customWidth="1"/>
    <col min="10" max="10" width="14" customWidth="1"/>
    <col min="11" max="11" width="12" customWidth="1"/>
    <col min="12" max="12" width="14" customWidth="1"/>
    <col min="13" max="13" width="8" customWidth="1"/>
  </cols>
  <sheetData>
    <row r="1" spans="1:13" ht="18" customHeight="1" x14ac:dyDescent="0.25">
      <c r="A1" s="5" t="s">
        <v>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ht="15" customHeight="1" x14ac:dyDescent="0.25">
      <c r="A3" s="8" t="s">
        <v>56</v>
      </c>
      <c r="B3" s="8" t="s">
        <v>57</v>
      </c>
      <c r="C3" s="8" t="s">
        <v>58</v>
      </c>
      <c r="D3" s="8" t="s">
        <v>59</v>
      </c>
      <c r="E3" s="8" t="s">
        <v>60</v>
      </c>
      <c r="F3" s="8" t="s">
        <v>61</v>
      </c>
      <c r="G3" s="8" t="s">
        <v>62</v>
      </c>
      <c r="H3" s="8" t="s">
        <v>63</v>
      </c>
      <c r="I3" s="8" t="s">
        <v>64</v>
      </c>
      <c r="J3" s="8" t="s">
        <v>65</v>
      </c>
      <c r="K3" s="8" t="s">
        <v>66</v>
      </c>
      <c r="L3" s="8" t="s">
        <v>67</v>
      </c>
      <c r="M3" s="8" t="s">
        <v>68</v>
      </c>
    </row>
    <row r="4" spans="1:13" ht="15" customHeight="1" x14ac:dyDescent="0.25">
      <c r="A4" s="9" t="s">
        <v>69</v>
      </c>
      <c r="B4" s="9" t="s">
        <v>70</v>
      </c>
      <c r="C4" s="33">
        <v>7000</v>
      </c>
      <c r="D4" s="34" t="s">
        <v>17</v>
      </c>
      <c r="E4" s="35">
        <f t="shared" ref="E4:E22" si="0">C4*1</f>
        <v>7000</v>
      </c>
      <c r="F4" s="34" t="s">
        <v>71</v>
      </c>
      <c r="G4" s="34" t="s">
        <v>72</v>
      </c>
      <c r="H4" s="34" t="s">
        <v>73</v>
      </c>
      <c r="I4" s="10">
        <f>E4*2/150</f>
        <v>93.333333333333329</v>
      </c>
      <c r="J4" s="11">
        <f t="shared" ref="J4:J22" si="1">I4*28</f>
        <v>2613.333333333333</v>
      </c>
      <c r="K4" s="11">
        <f>E4*2*0.12</f>
        <v>1680</v>
      </c>
      <c r="L4" s="11">
        <f t="shared" ref="L4:L22" si="2">J4+K4</f>
        <v>4293.333333333333</v>
      </c>
      <c r="M4" s="36" t="s">
        <v>74</v>
      </c>
    </row>
    <row r="5" spans="1:13" ht="15" customHeight="1" x14ac:dyDescent="0.25">
      <c r="A5" s="13" t="s">
        <v>75</v>
      </c>
      <c r="B5" s="13" t="s">
        <v>76</v>
      </c>
      <c r="C5" s="37">
        <v>450</v>
      </c>
      <c r="D5" s="38" t="s">
        <v>17</v>
      </c>
      <c r="E5" s="39">
        <f t="shared" si="0"/>
        <v>450</v>
      </c>
      <c r="F5" s="38" t="s">
        <v>77</v>
      </c>
      <c r="G5" s="38" t="s">
        <v>78</v>
      </c>
      <c r="H5" s="38" t="s">
        <v>79</v>
      </c>
      <c r="I5" s="14">
        <f>E5*2/100</f>
        <v>9</v>
      </c>
      <c r="J5" s="15">
        <f t="shared" si="1"/>
        <v>252</v>
      </c>
      <c r="K5" s="15">
        <f>E5*2*0.18</f>
        <v>162</v>
      </c>
      <c r="L5" s="15">
        <f t="shared" si="2"/>
        <v>414</v>
      </c>
      <c r="M5" s="40" t="s">
        <v>74</v>
      </c>
    </row>
    <row r="6" spans="1:13" ht="15" customHeight="1" x14ac:dyDescent="0.25">
      <c r="A6" s="9" t="s">
        <v>80</v>
      </c>
      <c r="B6" s="9" t="s">
        <v>81</v>
      </c>
      <c r="C6" s="33">
        <v>800</v>
      </c>
      <c r="D6" s="34" t="s">
        <v>17</v>
      </c>
      <c r="E6" s="35">
        <f t="shared" si="0"/>
        <v>800</v>
      </c>
      <c r="F6" s="34" t="s">
        <v>71</v>
      </c>
      <c r="G6" s="34" t="s">
        <v>72</v>
      </c>
      <c r="H6" s="34" t="s">
        <v>73</v>
      </c>
      <c r="I6" s="10">
        <f>E6*2/150</f>
        <v>10.666666666666666</v>
      </c>
      <c r="J6" s="11">
        <f t="shared" si="1"/>
        <v>298.66666666666663</v>
      </c>
      <c r="K6" s="11">
        <f>E6*2*0.12</f>
        <v>192</v>
      </c>
      <c r="L6" s="11">
        <f t="shared" si="2"/>
        <v>490.66666666666663</v>
      </c>
      <c r="M6" s="36" t="s">
        <v>74</v>
      </c>
    </row>
    <row r="7" spans="1:13" ht="15" customHeight="1" x14ac:dyDescent="0.25">
      <c r="A7" s="13" t="s">
        <v>82</v>
      </c>
      <c r="B7" s="13" t="s">
        <v>83</v>
      </c>
      <c r="C7" s="37">
        <v>180</v>
      </c>
      <c r="D7" s="38" t="s">
        <v>17</v>
      </c>
      <c r="E7" s="39">
        <f t="shared" si="0"/>
        <v>180</v>
      </c>
      <c r="F7" s="38" t="s">
        <v>77</v>
      </c>
      <c r="G7" s="38" t="s">
        <v>72</v>
      </c>
      <c r="H7" s="38" t="s">
        <v>84</v>
      </c>
      <c r="I7" s="14">
        <f>E7*2/80</f>
        <v>4.5</v>
      </c>
      <c r="J7" s="15">
        <f t="shared" si="1"/>
        <v>126</v>
      </c>
      <c r="K7" s="15">
        <f>E7*2*0.15</f>
        <v>54</v>
      </c>
      <c r="L7" s="15">
        <f t="shared" si="2"/>
        <v>180</v>
      </c>
      <c r="M7" s="40" t="s">
        <v>74</v>
      </c>
    </row>
    <row r="8" spans="1:13" ht="15" customHeight="1" x14ac:dyDescent="0.25">
      <c r="A8" s="9" t="s">
        <v>85</v>
      </c>
      <c r="B8" s="9" t="s">
        <v>86</v>
      </c>
      <c r="C8" s="33">
        <v>5500</v>
      </c>
      <c r="D8" s="34" t="s">
        <v>17</v>
      </c>
      <c r="E8" s="35">
        <f t="shared" si="0"/>
        <v>5500</v>
      </c>
      <c r="F8" s="34" t="s">
        <v>87</v>
      </c>
      <c r="G8" s="34" t="s">
        <v>72</v>
      </c>
      <c r="H8" s="34" t="s">
        <v>88</v>
      </c>
      <c r="I8" s="10">
        <f>E8*2/175</f>
        <v>62.857142857142854</v>
      </c>
      <c r="J8" s="11">
        <f t="shared" si="1"/>
        <v>1760</v>
      </c>
      <c r="K8" s="11">
        <f>E8*2*0.12</f>
        <v>1320</v>
      </c>
      <c r="L8" s="11">
        <f t="shared" si="2"/>
        <v>3080</v>
      </c>
      <c r="M8" s="41"/>
    </row>
    <row r="9" spans="1:13" ht="15" customHeight="1" x14ac:dyDescent="0.25">
      <c r="A9" s="13" t="s">
        <v>89</v>
      </c>
      <c r="B9" s="13" t="s">
        <v>90</v>
      </c>
      <c r="C9" s="37">
        <v>595</v>
      </c>
      <c r="D9" s="38" t="s">
        <v>17</v>
      </c>
      <c r="E9" s="39">
        <f t="shared" si="0"/>
        <v>595</v>
      </c>
      <c r="F9" s="38" t="s">
        <v>77</v>
      </c>
      <c r="G9" s="38" t="s">
        <v>78</v>
      </c>
      <c r="H9" s="38" t="s">
        <v>91</v>
      </c>
      <c r="I9" s="14">
        <f>E9*2/150</f>
        <v>7.9333333333333336</v>
      </c>
      <c r="J9" s="15">
        <f t="shared" si="1"/>
        <v>222.13333333333333</v>
      </c>
      <c r="K9" s="15">
        <f>E9*2*0.12</f>
        <v>142.79999999999998</v>
      </c>
      <c r="L9" s="15">
        <f t="shared" si="2"/>
        <v>364.93333333333328</v>
      </c>
    </row>
    <row r="10" spans="1:13" ht="15" customHeight="1" x14ac:dyDescent="0.25">
      <c r="A10" s="9" t="s">
        <v>92</v>
      </c>
      <c r="B10" s="9" t="s">
        <v>93</v>
      </c>
      <c r="C10" s="33">
        <v>612</v>
      </c>
      <c r="D10" s="34" t="s">
        <v>17</v>
      </c>
      <c r="E10" s="35">
        <f t="shared" si="0"/>
        <v>612</v>
      </c>
      <c r="F10" s="34" t="s">
        <v>77</v>
      </c>
      <c r="G10" s="34" t="s">
        <v>78</v>
      </c>
      <c r="H10" s="34" t="s">
        <v>91</v>
      </c>
      <c r="I10" s="10">
        <f>E10*2/150</f>
        <v>8.16</v>
      </c>
      <c r="J10" s="11">
        <f t="shared" si="1"/>
        <v>228.48000000000002</v>
      </c>
      <c r="K10" s="11">
        <f>E10*2*0.12</f>
        <v>146.88</v>
      </c>
      <c r="L10" s="11">
        <f t="shared" si="2"/>
        <v>375.36</v>
      </c>
      <c r="M10" s="41"/>
    </row>
    <row r="11" spans="1:13" ht="15" customHeight="1" x14ac:dyDescent="0.25">
      <c r="A11" s="13" t="s">
        <v>94</v>
      </c>
      <c r="B11" s="13" t="s">
        <v>95</v>
      </c>
      <c r="C11" s="37">
        <v>298</v>
      </c>
      <c r="D11" s="38" t="s">
        <v>17</v>
      </c>
      <c r="E11" s="39">
        <f t="shared" si="0"/>
        <v>298</v>
      </c>
      <c r="F11" s="38" t="s">
        <v>77</v>
      </c>
      <c r="G11" s="38" t="s">
        <v>78</v>
      </c>
      <c r="H11" s="38" t="s">
        <v>91</v>
      </c>
      <c r="I11" s="14">
        <f>E11*2/150</f>
        <v>3.9733333333333332</v>
      </c>
      <c r="J11" s="15">
        <f t="shared" si="1"/>
        <v>111.25333333333333</v>
      </c>
      <c r="K11" s="15">
        <f>E11*2*0.12</f>
        <v>71.52</v>
      </c>
      <c r="L11" s="15">
        <f t="shared" si="2"/>
        <v>182.77333333333331</v>
      </c>
    </row>
    <row r="12" spans="1:13" ht="15" customHeight="1" x14ac:dyDescent="0.25">
      <c r="A12" s="9" t="s">
        <v>96</v>
      </c>
      <c r="B12" s="9" t="s">
        <v>97</v>
      </c>
      <c r="C12" s="33">
        <v>1150</v>
      </c>
      <c r="D12" s="34" t="s">
        <v>17</v>
      </c>
      <c r="E12" s="35">
        <f t="shared" si="0"/>
        <v>1150</v>
      </c>
      <c r="F12" s="34" t="s">
        <v>87</v>
      </c>
      <c r="G12" s="34" t="s">
        <v>78</v>
      </c>
      <c r="H12" s="34" t="s">
        <v>98</v>
      </c>
      <c r="I12" s="10">
        <f>E12*2/125</f>
        <v>18.399999999999999</v>
      </c>
      <c r="J12" s="11">
        <f t="shared" si="1"/>
        <v>515.19999999999993</v>
      </c>
      <c r="K12" s="11">
        <f>E12*2*0.18</f>
        <v>414</v>
      </c>
      <c r="L12" s="11">
        <f t="shared" si="2"/>
        <v>929.19999999999993</v>
      </c>
      <c r="M12" s="41"/>
    </row>
    <row r="13" spans="1:13" ht="15" customHeight="1" x14ac:dyDescent="0.25">
      <c r="A13" s="13" t="s">
        <v>99</v>
      </c>
      <c r="B13" s="13" t="s">
        <v>100</v>
      </c>
      <c r="C13" s="37">
        <v>251</v>
      </c>
      <c r="D13" s="38" t="s">
        <v>17</v>
      </c>
      <c r="E13" s="39">
        <f t="shared" si="0"/>
        <v>251</v>
      </c>
      <c r="F13" s="38" t="s">
        <v>77</v>
      </c>
      <c r="G13" s="38" t="s">
        <v>78</v>
      </c>
      <c r="H13" s="38" t="s">
        <v>98</v>
      </c>
      <c r="I13" s="14">
        <f>E13*2/125</f>
        <v>4.016</v>
      </c>
      <c r="J13" s="15">
        <f t="shared" si="1"/>
        <v>112.44800000000001</v>
      </c>
      <c r="K13" s="15">
        <f>E13*2*0.18</f>
        <v>90.36</v>
      </c>
      <c r="L13" s="15">
        <f t="shared" si="2"/>
        <v>202.80799999999999</v>
      </c>
    </row>
    <row r="14" spans="1:13" ht="15" customHeight="1" x14ac:dyDescent="0.25">
      <c r="A14" s="9" t="s">
        <v>101</v>
      </c>
      <c r="B14" s="9" t="s">
        <v>102</v>
      </c>
      <c r="C14" s="33">
        <v>1349</v>
      </c>
      <c r="D14" s="34" t="s">
        <v>17</v>
      </c>
      <c r="E14" s="35">
        <f t="shared" si="0"/>
        <v>1349</v>
      </c>
      <c r="F14" s="34" t="s">
        <v>87</v>
      </c>
      <c r="G14" s="34" t="s">
        <v>78</v>
      </c>
      <c r="H14" s="34" t="s">
        <v>98</v>
      </c>
      <c r="I14" s="10">
        <f>E14*2/125</f>
        <v>21.584</v>
      </c>
      <c r="J14" s="11">
        <f t="shared" si="1"/>
        <v>604.35199999999998</v>
      </c>
      <c r="K14" s="11">
        <f>E14*2*0.18</f>
        <v>485.64</v>
      </c>
      <c r="L14" s="11">
        <f t="shared" si="2"/>
        <v>1089.992</v>
      </c>
      <c r="M14" s="41"/>
    </row>
    <row r="15" spans="1:13" ht="15" customHeight="1" x14ac:dyDescent="0.25">
      <c r="A15" s="13" t="s">
        <v>103</v>
      </c>
      <c r="B15" s="13" t="s">
        <v>104</v>
      </c>
      <c r="C15" s="37">
        <v>418</v>
      </c>
      <c r="D15" s="38" t="s">
        <v>17</v>
      </c>
      <c r="E15" s="39">
        <f t="shared" si="0"/>
        <v>418</v>
      </c>
      <c r="F15" s="38" t="s">
        <v>77</v>
      </c>
      <c r="G15" s="38" t="s">
        <v>78</v>
      </c>
      <c r="H15" s="38" t="s">
        <v>98</v>
      </c>
      <c r="I15" s="14">
        <f>E15*2/125</f>
        <v>6.6879999999999997</v>
      </c>
      <c r="J15" s="15">
        <f t="shared" si="1"/>
        <v>187.26399999999998</v>
      </c>
      <c r="K15" s="15">
        <f>E15*2*0.18</f>
        <v>150.47999999999999</v>
      </c>
      <c r="L15" s="15">
        <f t="shared" si="2"/>
        <v>337.74399999999997</v>
      </c>
    </row>
    <row r="16" spans="1:13" ht="15" customHeight="1" x14ac:dyDescent="0.25">
      <c r="A16" s="9" t="s">
        <v>105</v>
      </c>
      <c r="B16" s="9" t="s">
        <v>106</v>
      </c>
      <c r="C16" s="33">
        <v>365</v>
      </c>
      <c r="D16" s="34" t="s">
        <v>17</v>
      </c>
      <c r="E16" s="35">
        <f t="shared" si="0"/>
        <v>365</v>
      </c>
      <c r="F16" s="34" t="s">
        <v>77</v>
      </c>
      <c r="G16" s="34" t="s">
        <v>78</v>
      </c>
      <c r="H16" s="34" t="s">
        <v>98</v>
      </c>
      <c r="I16" s="10">
        <f>E16*2/125</f>
        <v>5.84</v>
      </c>
      <c r="J16" s="11">
        <f t="shared" si="1"/>
        <v>163.51999999999998</v>
      </c>
      <c r="K16" s="11">
        <f>E16*2*0.18</f>
        <v>131.4</v>
      </c>
      <c r="L16" s="11">
        <f t="shared" si="2"/>
        <v>294.91999999999996</v>
      </c>
      <c r="M16" s="41"/>
    </row>
    <row r="17" spans="1:13" ht="15" customHeight="1" x14ac:dyDescent="0.25">
      <c r="A17" s="13" t="s">
        <v>107</v>
      </c>
      <c r="B17" s="13" t="s">
        <v>108</v>
      </c>
      <c r="C17" s="37">
        <v>1200</v>
      </c>
      <c r="D17" s="38" t="s">
        <v>17</v>
      </c>
      <c r="E17" s="39">
        <f t="shared" si="0"/>
        <v>1200</v>
      </c>
      <c r="F17" s="38" t="s">
        <v>77</v>
      </c>
      <c r="G17" s="38" t="s">
        <v>109</v>
      </c>
      <c r="H17" s="38" t="s">
        <v>110</v>
      </c>
      <c r="I17" s="14">
        <f>E17*2/100</f>
        <v>24</v>
      </c>
      <c r="J17" s="15">
        <f t="shared" si="1"/>
        <v>672</v>
      </c>
      <c r="K17" s="15">
        <f>E17*2*0.25</f>
        <v>600</v>
      </c>
      <c r="L17" s="15">
        <f t="shared" si="2"/>
        <v>1272</v>
      </c>
    </row>
    <row r="18" spans="1:13" ht="15" customHeight="1" x14ac:dyDescent="0.25">
      <c r="A18" s="9" t="s">
        <v>111</v>
      </c>
      <c r="B18" s="9" t="s">
        <v>112</v>
      </c>
      <c r="C18" s="33">
        <v>408</v>
      </c>
      <c r="D18" s="34" t="s">
        <v>17</v>
      </c>
      <c r="E18" s="35">
        <f t="shared" si="0"/>
        <v>408</v>
      </c>
      <c r="F18" s="34" t="s">
        <v>77</v>
      </c>
      <c r="G18" s="34" t="s">
        <v>109</v>
      </c>
      <c r="H18" s="34" t="s">
        <v>110</v>
      </c>
      <c r="I18" s="10">
        <f>E18*2/100</f>
        <v>8.16</v>
      </c>
      <c r="J18" s="11">
        <f t="shared" si="1"/>
        <v>228.48000000000002</v>
      </c>
      <c r="K18" s="11">
        <f>E18*2*0.25</f>
        <v>204</v>
      </c>
      <c r="L18" s="11">
        <f t="shared" si="2"/>
        <v>432.48</v>
      </c>
      <c r="M18" s="41"/>
    </row>
    <row r="19" spans="1:13" ht="15" customHeight="1" x14ac:dyDescent="0.25">
      <c r="A19" s="13" t="s">
        <v>113</v>
      </c>
      <c r="B19" s="13" t="s">
        <v>114</v>
      </c>
      <c r="C19" s="37">
        <v>266</v>
      </c>
      <c r="D19" s="38" t="s">
        <v>17</v>
      </c>
      <c r="E19" s="39">
        <f t="shared" si="0"/>
        <v>266</v>
      </c>
      <c r="F19" s="38" t="s">
        <v>77</v>
      </c>
      <c r="G19" s="38" t="s">
        <v>109</v>
      </c>
      <c r="H19" s="38" t="s">
        <v>110</v>
      </c>
      <c r="I19" s="14">
        <f>E19*2/100</f>
        <v>5.32</v>
      </c>
      <c r="J19" s="15">
        <f t="shared" si="1"/>
        <v>148.96</v>
      </c>
      <c r="K19" s="15">
        <f>E19*2*0.25</f>
        <v>133</v>
      </c>
      <c r="L19" s="15">
        <f t="shared" si="2"/>
        <v>281.96000000000004</v>
      </c>
    </row>
    <row r="20" spans="1:13" ht="15" customHeight="1" x14ac:dyDescent="0.25">
      <c r="A20" s="9" t="s">
        <v>115</v>
      </c>
      <c r="B20" s="9" t="s">
        <v>116</v>
      </c>
      <c r="C20" s="33">
        <v>437</v>
      </c>
      <c r="D20" s="34" t="s">
        <v>17</v>
      </c>
      <c r="E20" s="35">
        <f t="shared" si="0"/>
        <v>437</v>
      </c>
      <c r="F20" s="34" t="s">
        <v>77</v>
      </c>
      <c r="G20" s="34" t="s">
        <v>78</v>
      </c>
      <c r="H20" s="34" t="s">
        <v>91</v>
      </c>
      <c r="I20" s="10">
        <f>E20*2/150</f>
        <v>5.8266666666666671</v>
      </c>
      <c r="J20" s="11">
        <f t="shared" si="1"/>
        <v>163.14666666666668</v>
      </c>
      <c r="K20" s="11">
        <f>E20*2*0.12</f>
        <v>104.88</v>
      </c>
      <c r="L20" s="11">
        <f t="shared" si="2"/>
        <v>268.02666666666664</v>
      </c>
      <c r="M20" s="41"/>
    </row>
    <row r="21" spans="1:13" ht="15" customHeight="1" x14ac:dyDescent="0.25">
      <c r="A21" s="13" t="s">
        <v>117</v>
      </c>
      <c r="B21" s="13" t="s">
        <v>118</v>
      </c>
      <c r="C21" s="37">
        <v>441</v>
      </c>
      <c r="D21" s="38" t="s">
        <v>17</v>
      </c>
      <c r="E21" s="39">
        <f t="shared" si="0"/>
        <v>441</v>
      </c>
      <c r="F21" s="38" t="s">
        <v>77</v>
      </c>
      <c r="G21" s="38" t="s">
        <v>78</v>
      </c>
      <c r="H21" s="38" t="s">
        <v>91</v>
      </c>
      <c r="I21" s="14">
        <f>E21*2/150</f>
        <v>5.88</v>
      </c>
      <c r="J21" s="15">
        <f t="shared" si="1"/>
        <v>164.64</v>
      </c>
      <c r="K21" s="15">
        <f>E21*2*0.12</f>
        <v>105.83999999999999</v>
      </c>
      <c r="L21" s="15">
        <f t="shared" si="2"/>
        <v>270.47999999999996</v>
      </c>
    </row>
    <row r="22" spans="1:13" ht="15" customHeight="1" x14ac:dyDescent="0.25">
      <c r="A22" s="9" t="s">
        <v>119</v>
      </c>
      <c r="B22" s="9" t="s">
        <v>120</v>
      </c>
      <c r="C22" s="33">
        <v>451</v>
      </c>
      <c r="D22" s="34" t="s">
        <v>17</v>
      </c>
      <c r="E22" s="35">
        <f t="shared" si="0"/>
        <v>451</v>
      </c>
      <c r="F22" s="34" t="s">
        <v>77</v>
      </c>
      <c r="G22" s="34" t="s">
        <v>78</v>
      </c>
      <c r="H22" s="34" t="s">
        <v>98</v>
      </c>
      <c r="I22" s="10">
        <f>E22*2/125</f>
        <v>7.2160000000000002</v>
      </c>
      <c r="J22" s="11">
        <f t="shared" si="1"/>
        <v>202.048</v>
      </c>
      <c r="K22" s="11">
        <f>E22*2*0.18</f>
        <v>162.35999999999999</v>
      </c>
      <c r="L22" s="11">
        <f t="shared" si="2"/>
        <v>364.40800000000002</v>
      </c>
      <c r="M22" s="41"/>
    </row>
    <row r="23" spans="1:13" ht="15" customHeight="1" x14ac:dyDescent="0.25">
      <c r="A23" s="13" t="s">
        <v>121</v>
      </c>
      <c r="B23" s="13" t="s">
        <v>122</v>
      </c>
      <c r="C23" s="25"/>
      <c r="D23" s="42" t="s">
        <v>123</v>
      </c>
      <c r="E23" s="25"/>
      <c r="F23" s="25"/>
      <c r="G23" s="25"/>
      <c r="H23" s="43" t="s">
        <v>124</v>
      </c>
      <c r="I23" s="25"/>
      <c r="J23" s="25"/>
      <c r="K23" s="25"/>
      <c r="L23" s="25"/>
    </row>
    <row r="24" spans="1:13" ht="15" customHeight="1" x14ac:dyDescent="0.25">
      <c r="A24" s="17"/>
      <c r="B24" s="17" t="s">
        <v>125</v>
      </c>
      <c r="C24" s="44">
        <f>SUM(C4:C23)</f>
        <v>22171</v>
      </c>
      <c r="D24" s="17"/>
      <c r="E24" s="44">
        <f>SUM(E4:E23)</f>
        <v>22171</v>
      </c>
      <c r="F24" s="17"/>
      <c r="G24" s="17"/>
      <c r="H24" s="17"/>
      <c r="I24" s="18">
        <f>SUM(I4:I23)</f>
        <v>313.35447619047619</v>
      </c>
      <c r="J24" s="19">
        <f>SUM(J4:J23)</f>
        <v>8773.9253333333327</v>
      </c>
      <c r="K24" s="19">
        <f>SUM(K4:K23)</f>
        <v>6351.16</v>
      </c>
      <c r="L24" s="19">
        <f>SUM(L4:L23)</f>
        <v>15125.085333333334</v>
      </c>
      <c r="M24" s="17"/>
    </row>
    <row r="26" spans="1:13" ht="15" customHeight="1" x14ac:dyDescent="0.25">
      <c r="A26" s="4" t="s">
        <v>126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5" customHeight="1" x14ac:dyDescent="0.25">
      <c r="A27" s="3" t="s">
        <v>127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5" customHeight="1" x14ac:dyDescent="0.25">
      <c r="A28" s="3" t="s">
        <v>128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5" customHeight="1" x14ac:dyDescent="0.25">
      <c r="A29" s="3" t="s">
        <v>129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5" customHeight="1" x14ac:dyDescent="0.25">
      <c r="A30" s="3" t="s">
        <v>130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5" customHeight="1" x14ac:dyDescent="0.25">
      <c r="A31" s="3" t="s">
        <v>131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</sheetData>
  <mergeCells count="7">
    <mergeCell ref="A30:M30"/>
    <mergeCell ref="A31:M31"/>
    <mergeCell ref="A1:M1"/>
    <mergeCell ref="A26:M26"/>
    <mergeCell ref="A27:M27"/>
    <mergeCell ref="A28:M28"/>
    <mergeCell ref="A29:M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5E20"/>
  </sheetPr>
  <dimension ref="A1:K13"/>
  <sheetViews>
    <sheetView zoomScaleNormal="100" workbookViewId="0">
      <selection sqref="A1:K1"/>
    </sheetView>
  </sheetViews>
  <sheetFormatPr defaultColWidth="8.7109375" defaultRowHeight="15" customHeight="1" x14ac:dyDescent="0.25"/>
  <cols>
    <col min="1" max="1" width="38" customWidth="1"/>
    <col min="2" max="2" width="20" customWidth="1"/>
    <col min="3" max="4" width="14" customWidth="1"/>
    <col min="5" max="6" width="10" customWidth="1"/>
    <col min="7" max="7" width="36" customWidth="1"/>
    <col min="8" max="8" width="12" customWidth="1"/>
    <col min="9" max="9" width="14" customWidth="1"/>
    <col min="10" max="10" width="10" customWidth="1"/>
    <col min="11" max="12" width="14" customWidth="1"/>
  </cols>
  <sheetData>
    <row r="1" spans="1:11" ht="18" customHeight="1" x14ac:dyDescent="0.25">
      <c r="A1" s="5" t="s">
        <v>132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ht="15" customHeight="1" x14ac:dyDescent="0.25">
      <c r="A3" s="8" t="s">
        <v>133</v>
      </c>
      <c r="B3" s="8" t="s">
        <v>134</v>
      </c>
      <c r="C3" s="8" t="s">
        <v>63</v>
      </c>
      <c r="D3" s="8" t="s">
        <v>135</v>
      </c>
      <c r="E3" s="8" t="s">
        <v>136</v>
      </c>
      <c r="F3" s="8" t="s">
        <v>62</v>
      </c>
      <c r="G3" s="8" t="s">
        <v>64</v>
      </c>
      <c r="H3" s="8" t="s">
        <v>65</v>
      </c>
      <c r="I3" s="8" t="s">
        <v>137</v>
      </c>
      <c r="J3" s="8" t="s">
        <v>66</v>
      </c>
      <c r="K3" s="8" t="s">
        <v>67</v>
      </c>
    </row>
    <row r="4" spans="1:11" ht="15" customHeight="1" x14ac:dyDescent="0.25">
      <c r="A4" s="9" t="s">
        <v>138</v>
      </c>
      <c r="B4" s="34" t="s">
        <v>139</v>
      </c>
      <c r="C4" s="34" t="s">
        <v>140</v>
      </c>
      <c r="D4" s="35">
        <v>900</v>
      </c>
      <c r="E4" s="45">
        <v>125</v>
      </c>
      <c r="F4" s="34">
        <v>2</v>
      </c>
      <c r="G4" s="10">
        <f t="shared" ref="G4:G10" si="0">D4*F4/E4</f>
        <v>14.4</v>
      </c>
      <c r="H4" s="11">
        <f t="shared" ref="H4:H10" si="1">G4*28</f>
        <v>403.2</v>
      </c>
      <c r="I4" s="46">
        <v>0.25</v>
      </c>
      <c r="J4" s="11">
        <f t="shared" ref="J4:J10" si="2">D4*F4*I4</f>
        <v>450</v>
      </c>
      <c r="K4" s="11">
        <f t="shared" ref="K4:K10" si="3">H4+J4</f>
        <v>853.2</v>
      </c>
    </row>
    <row r="5" spans="1:11" ht="15" customHeight="1" x14ac:dyDescent="0.25">
      <c r="A5" s="13" t="s">
        <v>141</v>
      </c>
      <c r="B5" s="38" t="s">
        <v>139</v>
      </c>
      <c r="C5" s="38" t="s">
        <v>140</v>
      </c>
      <c r="D5" s="39">
        <v>300</v>
      </c>
      <c r="E5" s="47">
        <v>125</v>
      </c>
      <c r="F5" s="38">
        <v>2</v>
      </c>
      <c r="G5" s="14">
        <f t="shared" si="0"/>
        <v>4.8</v>
      </c>
      <c r="H5" s="15">
        <f t="shared" si="1"/>
        <v>134.4</v>
      </c>
      <c r="I5" s="48">
        <v>0.25</v>
      </c>
      <c r="J5" s="15">
        <f t="shared" si="2"/>
        <v>150</v>
      </c>
      <c r="K5" s="15">
        <f t="shared" si="3"/>
        <v>284.39999999999998</v>
      </c>
    </row>
    <row r="6" spans="1:11" ht="15" customHeight="1" x14ac:dyDescent="0.25">
      <c r="A6" s="9" t="s">
        <v>142</v>
      </c>
      <c r="B6" s="34" t="s">
        <v>139</v>
      </c>
      <c r="C6" s="34" t="s">
        <v>143</v>
      </c>
      <c r="D6" s="35">
        <v>320</v>
      </c>
      <c r="E6" s="45">
        <v>200</v>
      </c>
      <c r="F6" s="34">
        <v>2</v>
      </c>
      <c r="G6" s="10">
        <f t="shared" si="0"/>
        <v>3.2</v>
      </c>
      <c r="H6" s="11">
        <f t="shared" si="1"/>
        <v>89.600000000000009</v>
      </c>
      <c r="I6" s="46">
        <v>0.1</v>
      </c>
      <c r="J6" s="11">
        <f t="shared" si="2"/>
        <v>64</v>
      </c>
      <c r="K6" s="11">
        <f t="shared" si="3"/>
        <v>153.60000000000002</v>
      </c>
    </row>
    <row r="7" spans="1:11" ht="15" customHeight="1" x14ac:dyDescent="0.25">
      <c r="A7" s="13" t="s">
        <v>144</v>
      </c>
      <c r="B7" s="38" t="s">
        <v>145</v>
      </c>
      <c r="C7" s="38" t="s">
        <v>146</v>
      </c>
      <c r="D7" s="39">
        <v>350</v>
      </c>
      <c r="E7" s="47">
        <v>100</v>
      </c>
      <c r="F7" s="38">
        <v>2</v>
      </c>
      <c r="G7" s="14">
        <f t="shared" si="0"/>
        <v>7</v>
      </c>
      <c r="H7" s="15">
        <f t="shared" si="1"/>
        <v>196</v>
      </c>
      <c r="I7" s="48">
        <v>0.25</v>
      </c>
      <c r="J7" s="15">
        <f t="shared" si="2"/>
        <v>175</v>
      </c>
      <c r="K7" s="15">
        <f t="shared" si="3"/>
        <v>371</v>
      </c>
    </row>
    <row r="8" spans="1:11" ht="15" customHeight="1" x14ac:dyDescent="0.25">
      <c r="A8" s="9" t="s">
        <v>147</v>
      </c>
      <c r="B8" s="34" t="s">
        <v>145</v>
      </c>
      <c r="C8" s="34" t="s">
        <v>146</v>
      </c>
      <c r="D8" s="35">
        <v>200</v>
      </c>
      <c r="E8" s="45">
        <v>100</v>
      </c>
      <c r="F8" s="34">
        <v>2</v>
      </c>
      <c r="G8" s="10">
        <f t="shared" si="0"/>
        <v>4</v>
      </c>
      <c r="H8" s="11">
        <f t="shared" si="1"/>
        <v>112</v>
      </c>
      <c r="I8" s="46">
        <v>0.25</v>
      </c>
      <c r="J8" s="11">
        <f t="shared" si="2"/>
        <v>100</v>
      </c>
      <c r="K8" s="11">
        <f t="shared" si="3"/>
        <v>212</v>
      </c>
    </row>
    <row r="9" spans="1:11" ht="15" customHeight="1" x14ac:dyDescent="0.25">
      <c r="A9" s="13" t="s">
        <v>148</v>
      </c>
      <c r="B9" s="38" t="s">
        <v>145</v>
      </c>
      <c r="C9" s="38" t="s">
        <v>146</v>
      </c>
      <c r="D9" s="39">
        <v>120</v>
      </c>
      <c r="E9" s="47">
        <v>100</v>
      </c>
      <c r="F9" s="38">
        <v>2</v>
      </c>
      <c r="G9" s="14">
        <f t="shared" si="0"/>
        <v>2.4</v>
      </c>
      <c r="H9" s="15">
        <f t="shared" si="1"/>
        <v>67.2</v>
      </c>
      <c r="I9" s="48">
        <v>0.25</v>
      </c>
      <c r="J9" s="15">
        <f t="shared" si="2"/>
        <v>60</v>
      </c>
      <c r="K9" s="15">
        <f t="shared" si="3"/>
        <v>127.2</v>
      </c>
    </row>
    <row r="10" spans="1:11" ht="15" customHeight="1" x14ac:dyDescent="0.25">
      <c r="A10" s="9" t="s">
        <v>149</v>
      </c>
      <c r="B10" s="34" t="s">
        <v>150</v>
      </c>
      <c r="C10" s="34" t="s">
        <v>143</v>
      </c>
      <c r="D10" s="35">
        <v>500</v>
      </c>
      <c r="E10" s="45">
        <v>150</v>
      </c>
      <c r="F10" s="34">
        <v>1</v>
      </c>
      <c r="G10" s="10">
        <f t="shared" si="0"/>
        <v>3.3333333333333335</v>
      </c>
      <c r="H10" s="11">
        <f t="shared" si="1"/>
        <v>93.333333333333343</v>
      </c>
      <c r="I10" s="46">
        <v>0.1</v>
      </c>
      <c r="J10" s="11">
        <f t="shared" si="2"/>
        <v>50</v>
      </c>
      <c r="K10" s="11">
        <f t="shared" si="3"/>
        <v>143.33333333333334</v>
      </c>
    </row>
    <row r="11" spans="1:11" ht="15" customHeight="1" x14ac:dyDescent="0.25">
      <c r="A11" s="17" t="s">
        <v>151</v>
      </c>
      <c r="B11" s="17"/>
      <c r="C11" s="17"/>
      <c r="D11" s="44">
        <f>SUM(D4:D10)</f>
        <v>2690</v>
      </c>
      <c r="E11" s="17"/>
      <c r="F11" s="17"/>
      <c r="G11" s="18">
        <f>SUM(G4:G10)</f>
        <v>39.133333333333333</v>
      </c>
      <c r="H11" s="19">
        <f>SUM(H4:H10)</f>
        <v>1095.7333333333333</v>
      </c>
      <c r="I11" s="17"/>
      <c r="J11" s="19">
        <f>SUM(J4:J10)</f>
        <v>1049</v>
      </c>
      <c r="K11" s="19">
        <f>SUM(K4:K10)</f>
        <v>2144.7333333333331</v>
      </c>
    </row>
    <row r="13" spans="1:11" ht="30" customHeight="1" x14ac:dyDescent="0.25">
      <c r="A13" s="2" t="s">
        <v>152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</sheetData>
  <mergeCells count="2">
    <mergeCell ref="A1:K1"/>
    <mergeCell ref="A13:K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</sheetPr>
  <dimension ref="A1:L22"/>
  <sheetViews>
    <sheetView zoomScaleNormal="100" workbookViewId="0">
      <selection sqref="A1:K1"/>
    </sheetView>
  </sheetViews>
  <sheetFormatPr defaultColWidth="8.7109375" defaultRowHeight="15" customHeight="1" x14ac:dyDescent="0.25"/>
  <cols>
    <col min="1" max="1" width="8" customWidth="1"/>
    <col min="2" max="2" width="38" customWidth="1"/>
    <col min="3" max="3" width="30" customWidth="1"/>
    <col min="4" max="4" width="8" customWidth="1"/>
    <col min="5" max="5" width="10" customWidth="1"/>
    <col min="6" max="8" width="12" customWidth="1"/>
    <col min="9" max="9" width="14" customWidth="1"/>
    <col min="10" max="10" width="10" customWidth="1"/>
    <col min="11" max="12" width="14" customWidth="1"/>
  </cols>
  <sheetData>
    <row r="1" spans="1:12" ht="18" customHeight="1" x14ac:dyDescent="0.25">
      <c r="A1" s="5" t="s">
        <v>153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2" ht="15" customHeight="1" x14ac:dyDescent="0.25">
      <c r="A3" s="8" t="s">
        <v>154</v>
      </c>
      <c r="B3" s="8" t="s">
        <v>155</v>
      </c>
      <c r="C3" s="8" t="s">
        <v>63</v>
      </c>
      <c r="D3" s="8" t="s">
        <v>156</v>
      </c>
      <c r="E3" s="8" t="s">
        <v>157</v>
      </c>
      <c r="F3" s="8" t="s">
        <v>135</v>
      </c>
      <c r="G3" s="8" t="s">
        <v>136</v>
      </c>
      <c r="H3" s="8" t="s">
        <v>64</v>
      </c>
      <c r="I3" s="8" t="s">
        <v>65</v>
      </c>
      <c r="J3" s="8" t="s">
        <v>158</v>
      </c>
      <c r="K3" s="8" t="s">
        <v>66</v>
      </c>
      <c r="L3" s="8" t="s">
        <v>67</v>
      </c>
    </row>
    <row r="4" spans="1:12" ht="15" customHeight="1" x14ac:dyDescent="0.25">
      <c r="A4" s="1" t="s">
        <v>159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" customHeight="1" x14ac:dyDescent="0.25">
      <c r="A5" s="9">
        <v>1</v>
      </c>
      <c r="B5" s="9" t="s">
        <v>160</v>
      </c>
      <c r="C5" s="34" t="s">
        <v>161</v>
      </c>
      <c r="D5" s="34">
        <v>28</v>
      </c>
      <c r="E5" s="45">
        <v>42</v>
      </c>
      <c r="F5" s="49">
        <f>D5*E5</f>
        <v>1176</v>
      </c>
      <c r="G5" s="45">
        <v>30</v>
      </c>
      <c r="H5" s="10">
        <f>F5/G5</f>
        <v>39.200000000000003</v>
      </c>
      <c r="I5" s="11">
        <f>H5*28</f>
        <v>1097.6000000000001</v>
      </c>
      <c r="J5" s="46">
        <v>8.5</v>
      </c>
      <c r="K5" s="11">
        <f>D5*J5</f>
        <v>238</v>
      </c>
      <c r="L5" s="11">
        <f>I5+K5</f>
        <v>1335.6000000000001</v>
      </c>
    </row>
    <row r="6" spans="1:12" ht="15" customHeight="1" x14ac:dyDescent="0.25">
      <c r="A6" s="13">
        <v>2</v>
      </c>
      <c r="B6" s="13" t="s">
        <v>162</v>
      </c>
      <c r="C6" s="38" t="s">
        <v>161</v>
      </c>
      <c r="D6" s="38">
        <v>5</v>
      </c>
      <c r="E6" s="47">
        <v>70</v>
      </c>
      <c r="F6" s="50">
        <f>D6*E6</f>
        <v>350</v>
      </c>
      <c r="G6" s="47">
        <v>25</v>
      </c>
      <c r="H6" s="14">
        <f>F6/G6</f>
        <v>14</v>
      </c>
      <c r="I6" s="15">
        <f>H6*28</f>
        <v>392</v>
      </c>
      <c r="J6" s="48">
        <v>14</v>
      </c>
      <c r="K6" s="15">
        <f>D6*J6</f>
        <v>70</v>
      </c>
      <c r="L6" s="15">
        <f>I6+K6</f>
        <v>462</v>
      </c>
    </row>
    <row r="7" spans="1:12" ht="15" customHeight="1" x14ac:dyDescent="0.25">
      <c r="A7" s="9">
        <v>3</v>
      </c>
      <c r="B7" s="9" t="s">
        <v>163</v>
      </c>
      <c r="C7" s="34" t="s">
        <v>161</v>
      </c>
      <c r="D7" s="34">
        <v>2</v>
      </c>
      <c r="E7" s="45">
        <v>35</v>
      </c>
      <c r="F7" s="49">
        <f>D7*E7</f>
        <v>70</v>
      </c>
      <c r="G7" s="45">
        <v>30</v>
      </c>
      <c r="H7" s="10">
        <f>F7/G7</f>
        <v>2.3333333333333335</v>
      </c>
      <c r="I7" s="11">
        <f>H7*28</f>
        <v>65.333333333333343</v>
      </c>
      <c r="J7" s="46">
        <v>7</v>
      </c>
      <c r="K7" s="11">
        <f>D7*J7</f>
        <v>14</v>
      </c>
      <c r="L7" s="11">
        <f>I7+K7</f>
        <v>79.333333333333343</v>
      </c>
    </row>
    <row r="8" spans="1:12" ht="15" customHeight="1" x14ac:dyDescent="0.25">
      <c r="A8" s="13">
        <v>4</v>
      </c>
      <c r="B8" s="13" t="s">
        <v>164</v>
      </c>
      <c r="C8" s="38" t="s">
        <v>165</v>
      </c>
      <c r="D8" s="38">
        <v>4</v>
      </c>
      <c r="E8" s="47">
        <v>50</v>
      </c>
      <c r="F8" s="50">
        <f>D8*E8</f>
        <v>200</v>
      </c>
      <c r="G8" s="47">
        <v>20</v>
      </c>
      <c r="H8" s="14">
        <f>F8/G8</f>
        <v>10</v>
      </c>
      <c r="I8" s="15">
        <f>H8*28</f>
        <v>280</v>
      </c>
      <c r="J8" s="48">
        <v>12</v>
      </c>
      <c r="K8" s="15">
        <f>D8*J8</f>
        <v>48</v>
      </c>
      <c r="L8" s="15">
        <f>I8+K8</f>
        <v>328</v>
      </c>
    </row>
    <row r="9" spans="1:12" ht="15" customHeight="1" x14ac:dyDescent="0.25">
      <c r="A9" s="9">
        <v>5</v>
      </c>
      <c r="B9" s="9" t="s">
        <v>166</v>
      </c>
      <c r="C9" s="34" t="s">
        <v>167</v>
      </c>
      <c r="D9" s="34">
        <v>1</v>
      </c>
      <c r="E9" s="45">
        <v>60</v>
      </c>
      <c r="F9" s="49">
        <f>D9*E9</f>
        <v>60</v>
      </c>
      <c r="G9" s="45">
        <v>40</v>
      </c>
      <c r="H9" s="10">
        <f>F9/G9</f>
        <v>1.5</v>
      </c>
      <c r="I9" s="11">
        <f>H9*28</f>
        <v>42</v>
      </c>
      <c r="J9" s="46">
        <v>6</v>
      </c>
      <c r="K9" s="11">
        <f>D9*J9</f>
        <v>6</v>
      </c>
      <c r="L9" s="11">
        <f>I9+K9</f>
        <v>48</v>
      </c>
    </row>
    <row r="10" spans="1:12" x14ac:dyDescent="0.25">
      <c r="A10" s="17"/>
      <c r="B10" s="17" t="s">
        <v>168</v>
      </c>
      <c r="C10" s="17"/>
      <c r="D10" s="17"/>
      <c r="E10" s="17"/>
      <c r="F10" s="51">
        <f>SUM(F5:F9)</f>
        <v>1856</v>
      </c>
      <c r="G10" s="17"/>
      <c r="H10" s="52">
        <f>SUM(H5:H9)</f>
        <v>67.033333333333331</v>
      </c>
      <c r="I10" s="53">
        <f>SUM(I5:I9)</f>
        <v>1876.9333333333334</v>
      </c>
      <c r="J10" s="17"/>
      <c r="K10" s="53">
        <f>SUM(K5:K9)</f>
        <v>376</v>
      </c>
      <c r="L10" s="53">
        <f>SUM(L5:L9)</f>
        <v>2252.9333333333334</v>
      </c>
    </row>
    <row r="11" spans="1:12" ht="15" customHeight="1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</row>
    <row r="12" spans="1:12" ht="24.75" customHeight="1" x14ac:dyDescent="0.25">
      <c r="A12" s="2" t="s">
        <v>169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</row>
    <row r="14" spans="1:12" ht="15" customHeight="1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</row>
    <row r="15" spans="1:12" ht="15" customHeight="1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</row>
    <row r="16" spans="1:12" ht="1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</row>
    <row r="17" spans="1:12" ht="15" customHeight="1" x14ac:dyDescent="0.25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</row>
    <row r="18" spans="1:12" ht="15" customHeight="1" x14ac:dyDescent="0.25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</row>
    <row r="19" spans="1:12" ht="15" customHeight="1" x14ac:dyDescent="0.25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</row>
    <row r="20" spans="1:12" ht="15" customHeight="1" x14ac:dyDescent="0.25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</row>
    <row r="21" spans="1:12" x14ac:dyDescent="0.25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</row>
    <row r="22" spans="1:12" ht="30" customHeight="1" x14ac:dyDescent="0.25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</sheetData>
  <mergeCells count="3">
    <mergeCell ref="A1:K1"/>
    <mergeCell ref="A4:L4"/>
    <mergeCell ref="A12:L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148C"/>
  </sheetPr>
  <dimension ref="A1:I15"/>
  <sheetViews>
    <sheetView zoomScaleNormal="100" workbookViewId="0">
      <selection sqref="A1:I1"/>
    </sheetView>
  </sheetViews>
  <sheetFormatPr defaultColWidth="8.7109375" defaultRowHeight="15" customHeight="1" x14ac:dyDescent="0.25"/>
  <cols>
    <col min="1" max="1" width="8" customWidth="1"/>
    <col min="2" max="2" width="40" customWidth="1"/>
    <col min="3" max="3" width="12" customWidth="1"/>
    <col min="4" max="4" width="10" customWidth="1"/>
    <col min="5" max="6" width="12" customWidth="1"/>
    <col min="7" max="9" width="14" customWidth="1"/>
  </cols>
  <sheetData>
    <row r="1" spans="1:9" ht="18" customHeight="1" x14ac:dyDescent="0.25">
      <c r="A1" s="5" t="s">
        <v>170</v>
      </c>
      <c r="B1" s="5"/>
      <c r="C1" s="5"/>
      <c r="D1" s="5"/>
      <c r="E1" s="5"/>
      <c r="F1" s="5"/>
      <c r="G1" s="5"/>
      <c r="H1" s="5"/>
      <c r="I1" s="5"/>
    </row>
    <row r="3" spans="1:9" ht="15" customHeight="1" x14ac:dyDescent="0.25">
      <c r="A3" s="8" t="s">
        <v>154</v>
      </c>
      <c r="B3" s="8" t="s">
        <v>155</v>
      </c>
      <c r="C3" s="8" t="s">
        <v>171</v>
      </c>
      <c r="D3" s="8" t="s">
        <v>172</v>
      </c>
      <c r="E3" s="8" t="s">
        <v>136</v>
      </c>
      <c r="F3" s="8" t="s">
        <v>64</v>
      </c>
      <c r="G3" s="8" t="s">
        <v>65</v>
      </c>
      <c r="H3" s="8" t="s">
        <v>66</v>
      </c>
      <c r="I3" s="8" t="s">
        <v>67</v>
      </c>
    </row>
    <row r="4" spans="1:9" ht="15" customHeight="1" x14ac:dyDescent="0.25">
      <c r="A4" s="9">
        <v>1</v>
      </c>
      <c r="B4" s="9" t="s">
        <v>173</v>
      </c>
      <c r="C4" s="35">
        <v>252</v>
      </c>
      <c r="D4" s="34" t="s">
        <v>174</v>
      </c>
      <c r="E4" s="45">
        <v>25</v>
      </c>
      <c r="F4" s="10">
        <f t="shared" ref="F4:F11" si="0">C4/E4</f>
        <v>10.08</v>
      </c>
      <c r="G4" s="11">
        <f t="shared" ref="G4:G12" si="1">F4*28</f>
        <v>282.24</v>
      </c>
      <c r="H4" s="11">
        <v>54</v>
      </c>
      <c r="I4" s="11">
        <f t="shared" ref="I4:I12" si="2">G4+H4</f>
        <v>336.24</v>
      </c>
    </row>
    <row r="5" spans="1:9" ht="15" customHeight="1" x14ac:dyDescent="0.25">
      <c r="A5" s="13">
        <v>2</v>
      </c>
      <c r="B5" s="13" t="s">
        <v>175</v>
      </c>
      <c r="C5" s="39">
        <v>96</v>
      </c>
      <c r="D5" s="38" t="s">
        <v>174</v>
      </c>
      <c r="E5" s="47">
        <v>40</v>
      </c>
      <c r="F5" s="14">
        <f t="shared" si="0"/>
        <v>2.4</v>
      </c>
      <c r="G5" s="15">
        <f t="shared" si="1"/>
        <v>67.2</v>
      </c>
      <c r="H5" s="15">
        <v>24</v>
      </c>
      <c r="I5" s="15">
        <f t="shared" si="2"/>
        <v>91.2</v>
      </c>
    </row>
    <row r="6" spans="1:9" ht="15" customHeight="1" x14ac:dyDescent="0.25">
      <c r="A6" s="9">
        <v>3</v>
      </c>
      <c r="B6" s="9" t="s">
        <v>176</v>
      </c>
      <c r="C6" s="35">
        <v>200</v>
      </c>
      <c r="D6" s="34" t="s">
        <v>174</v>
      </c>
      <c r="E6" s="45">
        <v>50</v>
      </c>
      <c r="F6" s="10">
        <f t="shared" si="0"/>
        <v>4</v>
      </c>
      <c r="G6" s="11">
        <f t="shared" si="1"/>
        <v>112</v>
      </c>
      <c r="H6" s="11">
        <v>15</v>
      </c>
      <c r="I6" s="11">
        <f t="shared" si="2"/>
        <v>127</v>
      </c>
    </row>
    <row r="7" spans="1:9" ht="15" customHeight="1" x14ac:dyDescent="0.25">
      <c r="A7" s="13">
        <v>4</v>
      </c>
      <c r="B7" s="13" t="s">
        <v>177</v>
      </c>
      <c r="C7" s="39">
        <v>10</v>
      </c>
      <c r="D7" s="38" t="s">
        <v>174</v>
      </c>
      <c r="E7" s="47">
        <v>40</v>
      </c>
      <c r="F7" s="14">
        <f t="shared" si="0"/>
        <v>0.25</v>
      </c>
      <c r="G7" s="15">
        <f t="shared" si="1"/>
        <v>7</v>
      </c>
      <c r="H7" s="15">
        <v>2.5</v>
      </c>
      <c r="I7" s="15">
        <f t="shared" si="2"/>
        <v>9.5</v>
      </c>
    </row>
    <row r="8" spans="1:9" ht="15" customHeight="1" x14ac:dyDescent="0.25">
      <c r="A8" s="9">
        <v>5</v>
      </c>
      <c r="B8" s="9" t="s">
        <v>178</v>
      </c>
      <c r="C8" s="35">
        <v>40</v>
      </c>
      <c r="D8" s="34" t="s">
        <v>174</v>
      </c>
      <c r="E8" s="45">
        <v>30</v>
      </c>
      <c r="F8" s="10">
        <f t="shared" si="0"/>
        <v>1.3333333333333333</v>
      </c>
      <c r="G8" s="11">
        <f t="shared" si="1"/>
        <v>37.333333333333329</v>
      </c>
      <c r="H8" s="11">
        <v>8</v>
      </c>
      <c r="I8" s="11">
        <f t="shared" si="2"/>
        <v>45.333333333333329</v>
      </c>
    </row>
    <row r="9" spans="1:9" ht="15" customHeight="1" x14ac:dyDescent="0.25">
      <c r="A9" s="13">
        <v>6</v>
      </c>
      <c r="B9" s="13" t="s">
        <v>179</v>
      </c>
      <c r="C9" s="39">
        <v>150</v>
      </c>
      <c r="D9" s="38" t="s">
        <v>174</v>
      </c>
      <c r="E9" s="47">
        <v>50</v>
      </c>
      <c r="F9" s="14">
        <f t="shared" si="0"/>
        <v>3</v>
      </c>
      <c r="G9" s="15">
        <f t="shared" si="1"/>
        <v>84</v>
      </c>
      <c r="H9" s="15">
        <v>12</v>
      </c>
      <c r="I9" s="15">
        <f t="shared" si="2"/>
        <v>96</v>
      </c>
    </row>
    <row r="10" spans="1:9" ht="15" customHeight="1" x14ac:dyDescent="0.25">
      <c r="A10" s="9">
        <v>7</v>
      </c>
      <c r="B10" s="9" t="s">
        <v>180</v>
      </c>
      <c r="C10" s="35">
        <v>120</v>
      </c>
      <c r="D10" s="34" t="s">
        <v>174</v>
      </c>
      <c r="E10" s="45">
        <v>40</v>
      </c>
      <c r="F10" s="10">
        <f t="shared" si="0"/>
        <v>3</v>
      </c>
      <c r="G10" s="11">
        <f t="shared" si="1"/>
        <v>84</v>
      </c>
      <c r="H10" s="11">
        <v>10</v>
      </c>
      <c r="I10" s="11">
        <f t="shared" si="2"/>
        <v>94</v>
      </c>
    </row>
    <row r="11" spans="1:9" ht="15" customHeight="1" x14ac:dyDescent="0.25">
      <c r="A11" s="13">
        <v>8</v>
      </c>
      <c r="B11" s="13" t="s">
        <v>181</v>
      </c>
      <c r="C11" s="39">
        <v>32</v>
      </c>
      <c r="D11" s="38" t="s">
        <v>174</v>
      </c>
      <c r="E11" s="47">
        <v>40</v>
      </c>
      <c r="F11" s="14">
        <f t="shared" si="0"/>
        <v>0.8</v>
      </c>
      <c r="G11" s="15">
        <f t="shared" si="1"/>
        <v>22.400000000000002</v>
      </c>
      <c r="H11" s="15">
        <v>8</v>
      </c>
      <c r="I11" s="15">
        <f t="shared" si="2"/>
        <v>30.400000000000002</v>
      </c>
    </row>
    <row r="12" spans="1:9" ht="15" customHeight="1" x14ac:dyDescent="0.25">
      <c r="A12" s="9">
        <v>9</v>
      </c>
      <c r="B12" s="9" t="s">
        <v>182</v>
      </c>
      <c r="C12" s="35">
        <v>1</v>
      </c>
      <c r="D12" s="34" t="s">
        <v>183</v>
      </c>
      <c r="E12" s="34" t="s">
        <v>184</v>
      </c>
      <c r="F12" s="10">
        <v>2</v>
      </c>
      <c r="G12" s="11">
        <f t="shared" si="1"/>
        <v>56</v>
      </c>
      <c r="H12" s="11">
        <v>10</v>
      </c>
      <c r="I12" s="11">
        <f t="shared" si="2"/>
        <v>66</v>
      </c>
    </row>
    <row r="13" spans="1:9" ht="15" customHeight="1" x14ac:dyDescent="0.25">
      <c r="A13" s="17"/>
      <c r="B13" s="17" t="s">
        <v>185</v>
      </c>
      <c r="C13" s="44">
        <f>SUM(C4:C12)</f>
        <v>901</v>
      </c>
      <c r="D13" s="17"/>
      <c r="E13" s="17"/>
      <c r="F13" s="18">
        <f>SUM(F4:F12)</f>
        <v>26.863333333333333</v>
      </c>
      <c r="G13" s="19">
        <f>SUM(G4:G12)</f>
        <v>752.17333333333329</v>
      </c>
      <c r="H13" s="19">
        <f>SUM(H4:H12)</f>
        <v>143.5</v>
      </c>
      <c r="I13" s="19">
        <f>SUM(I4:I12)</f>
        <v>895.6733333333334</v>
      </c>
    </row>
    <row r="15" spans="1:9" ht="30" customHeight="1" x14ac:dyDescent="0.25">
      <c r="A15" s="2" t="s">
        <v>186</v>
      </c>
      <c r="B15" s="2"/>
      <c r="C15" s="2"/>
      <c r="D15" s="2"/>
      <c r="E15" s="2"/>
      <c r="F15" s="2"/>
      <c r="G15" s="2"/>
      <c r="H15" s="2"/>
      <c r="I15" s="2"/>
    </row>
  </sheetData>
  <mergeCells count="2">
    <mergeCell ref="A1:I1"/>
    <mergeCell ref="A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360C"/>
  </sheetPr>
  <dimension ref="A1:I34"/>
  <sheetViews>
    <sheetView zoomScaleNormal="100" workbookViewId="0">
      <selection sqref="A1:I1"/>
    </sheetView>
  </sheetViews>
  <sheetFormatPr defaultColWidth="8.7109375" defaultRowHeight="15" customHeight="1" x14ac:dyDescent="0.25"/>
  <cols>
    <col min="1" max="1" width="8" customWidth="1"/>
    <col min="2" max="2" width="44" customWidth="1"/>
    <col min="3" max="4" width="8" customWidth="1"/>
    <col min="5" max="5" width="10" customWidth="1"/>
    <col min="6" max="6" width="12" customWidth="1"/>
    <col min="7" max="9" width="14" customWidth="1"/>
  </cols>
  <sheetData>
    <row r="1" spans="1:9" ht="18" customHeight="1" x14ac:dyDescent="0.25">
      <c r="A1" s="5" t="s">
        <v>187</v>
      </c>
      <c r="B1" s="5"/>
      <c r="C1" s="5"/>
      <c r="D1" s="5"/>
      <c r="E1" s="5"/>
      <c r="F1" s="5"/>
      <c r="G1" s="5"/>
      <c r="H1" s="5"/>
      <c r="I1" s="5"/>
    </row>
    <row r="3" spans="1:9" ht="15" customHeight="1" x14ac:dyDescent="0.25">
      <c r="A3" s="8" t="s">
        <v>154</v>
      </c>
      <c r="B3" s="8" t="s">
        <v>155</v>
      </c>
      <c r="C3" s="8" t="s">
        <v>172</v>
      </c>
      <c r="D3" s="8" t="s">
        <v>156</v>
      </c>
      <c r="E3" s="8" t="s">
        <v>188</v>
      </c>
      <c r="F3" s="8" t="s">
        <v>189</v>
      </c>
      <c r="G3" s="8" t="s">
        <v>65</v>
      </c>
      <c r="H3" s="8" t="s">
        <v>66</v>
      </c>
      <c r="I3" s="8" t="s">
        <v>67</v>
      </c>
    </row>
    <row r="4" spans="1:9" ht="15" customHeight="1" x14ac:dyDescent="0.25">
      <c r="A4" s="1" t="s">
        <v>190</v>
      </c>
      <c r="B4" s="1"/>
      <c r="C4" s="1"/>
      <c r="D4" s="1"/>
      <c r="E4" s="1"/>
      <c r="F4" s="1"/>
      <c r="G4" s="1"/>
      <c r="H4" s="1"/>
      <c r="I4" s="1"/>
    </row>
    <row r="5" spans="1:9" ht="15" customHeight="1" x14ac:dyDescent="0.25">
      <c r="A5" s="9">
        <v>1</v>
      </c>
      <c r="B5" s="9" t="s">
        <v>191</v>
      </c>
      <c r="C5" s="34" t="s">
        <v>183</v>
      </c>
      <c r="D5" s="34">
        <v>1</v>
      </c>
      <c r="E5" s="55">
        <v>16</v>
      </c>
      <c r="F5" s="10">
        <f t="shared" ref="F5:F10" si="0">D5*E5</f>
        <v>16</v>
      </c>
      <c r="G5" s="11">
        <f t="shared" ref="G5:G10" si="1">F5*28</f>
        <v>448</v>
      </c>
      <c r="H5" s="11">
        <v>80</v>
      </c>
      <c r="I5" s="11">
        <f t="shared" ref="I5:I10" si="2">G5+H5</f>
        <v>528</v>
      </c>
    </row>
    <row r="6" spans="1:9" ht="15" customHeight="1" x14ac:dyDescent="0.25">
      <c r="A6" s="13">
        <v>2</v>
      </c>
      <c r="B6" s="13" t="s">
        <v>192</v>
      </c>
      <c r="C6" s="38" t="s">
        <v>183</v>
      </c>
      <c r="D6" s="38">
        <v>1</v>
      </c>
      <c r="E6" s="56">
        <v>16</v>
      </c>
      <c r="F6" s="14">
        <f t="shared" si="0"/>
        <v>16</v>
      </c>
      <c r="G6" s="15">
        <f t="shared" si="1"/>
        <v>448</v>
      </c>
      <c r="H6" s="15">
        <v>150</v>
      </c>
      <c r="I6" s="15">
        <f t="shared" si="2"/>
        <v>598</v>
      </c>
    </row>
    <row r="7" spans="1:9" ht="15" customHeight="1" x14ac:dyDescent="0.25">
      <c r="A7" s="9">
        <v>3</v>
      </c>
      <c r="B7" s="9" t="s">
        <v>193</v>
      </c>
      <c r="C7" s="34" t="s">
        <v>183</v>
      </c>
      <c r="D7" s="34">
        <v>1</v>
      </c>
      <c r="E7" s="55">
        <v>8</v>
      </c>
      <c r="F7" s="10">
        <f t="shared" si="0"/>
        <v>8</v>
      </c>
      <c r="G7" s="11">
        <f t="shared" si="1"/>
        <v>224</v>
      </c>
      <c r="H7" s="11">
        <v>80</v>
      </c>
      <c r="I7" s="11">
        <f t="shared" si="2"/>
        <v>304</v>
      </c>
    </row>
    <row r="8" spans="1:9" ht="15" customHeight="1" x14ac:dyDescent="0.25">
      <c r="A8" s="13">
        <v>4</v>
      </c>
      <c r="B8" s="13" t="s">
        <v>194</v>
      </c>
      <c r="C8" s="38" t="s">
        <v>195</v>
      </c>
      <c r="D8" s="38">
        <v>12</v>
      </c>
      <c r="E8" s="56">
        <v>0.75</v>
      </c>
      <c r="F8" s="14">
        <f t="shared" si="0"/>
        <v>9</v>
      </c>
      <c r="G8" s="15">
        <f t="shared" si="1"/>
        <v>252</v>
      </c>
      <c r="H8" s="15">
        <v>25</v>
      </c>
      <c r="I8" s="15">
        <f t="shared" si="2"/>
        <v>277</v>
      </c>
    </row>
    <row r="9" spans="1:9" ht="15" customHeight="1" x14ac:dyDescent="0.25">
      <c r="A9" s="9">
        <v>5</v>
      </c>
      <c r="B9" s="9" t="s">
        <v>196</v>
      </c>
      <c r="C9" s="34" t="s">
        <v>183</v>
      </c>
      <c r="D9" s="34">
        <v>1</v>
      </c>
      <c r="E9" s="55">
        <v>8</v>
      </c>
      <c r="F9" s="10">
        <f t="shared" si="0"/>
        <v>8</v>
      </c>
      <c r="G9" s="11">
        <f t="shared" si="1"/>
        <v>224</v>
      </c>
      <c r="H9" s="11">
        <v>120</v>
      </c>
      <c r="I9" s="11">
        <f t="shared" si="2"/>
        <v>344</v>
      </c>
    </row>
    <row r="10" spans="1:9" ht="15" customHeight="1" x14ac:dyDescent="0.25">
      <c r="A10" s="13">
        <v>6</v>
      </c>
      <c r="B10" s="13" t="s">
        <v>197</v>
      </c>
      <c r="C10" s="38" t="s">
        <v>183</v>
      </c>
      <c r="D10" s="38">
        <v>1</v>
      </c>
      <c r="E10" s="56">
        <v>8</v>
      </c>
      <c r="F10" s="14">
        <f t="shared" si="0"/>
        <v>8</v>
      </c>
      <c r="G10" s="15">
        <f t="shared" si="1"/>
        <v>224</v>
      </c>
      <c r="H10" s="15">
        <v>120</v>
      </c>
      <c r="I10" s="15">
        <f t="shared" si="2"/>
        <v>344</v>
      </c>
    </row>
    <row r="11" spans="1:9" ht="15" customHeight="1" x14ac:dyDescent="0.25">
      <c r="A11" s="1" t="s">
        <v>198</v>
      </c>
      <c r="B11" s="1"/>
      <c r="C11" s="1"/>
      <c r="D11" s="1"/>
      <c r="E11" s="1"/>
      <c r="F11" s="1"/>
      <c r="G11" s="1"/>
      <c r="H11" s="1"/>
      <c r="I11" s="1"/>
    </row>
    <row r="12" spans="1:9" ht="15" customHeight="1" x14ac:dyDescent="0.25">
      <c r="A12" s="9">
        <v>7</v>
      </c>
      <c r="B12" s="9" t="s">
        <v>199</v>
      </c>
      <c r="C12" s="34" t="s">
        <v>183</v>
      </c>
      <c r="D12" s="34">
        <v>1</v>
      </c>
      <c r="E12" s="55">
        <v>8</v>
      </c>
      <c r="F12" s="10">
        <f>D12*E12</f>
        <v>8</v>
      </c>
      <c r="G12" s="11">
        <f>F12*28</f>
        <v>224</v>
      </c>
      <c r="H12" s="11">
        <v>50</v>
      </c>
      <c r="I12" s="11">
        <f>G12+H12</f>
        <v>274</v>
      </c>
    </row>
    <row r="13" spans="1:9" ht="15" customHeight="1" x14ac:dyDescent="0.25">
      <c r="A13" s="13">
        <v>8</v>
      </c>
      <c r="B13" s="13" t="s">
        <v>200</v>
      </c>
      <c r="C13" s="38" t="s">
        <v>183</v>
      </c>
      <c r="D13" s="38">
        <v>1</v>
      </c>
      <c r="E13" s="56">
        <v>6</v>
      </c>
      <c r="F13" s="14">
        <f>D13*E13</f>
        <v>6</v>
      </c>
      <c r="G13" s="15">
        <f>F13*28</f>
        <v>168</v>
      </c>
      <c r="H13" s="15">
        <v>30</v>
      </c>
      <c r="I13" s="15">
        <f>G13+H13</f>
        <v>198</v>
      </c>
    </row>
    <row r="14" spans="1:9" ht="15" customHeight="1" x14ac:dyDescent="0.25">
      <c r="A14" s="9">
        <v>9</v>
      </c>
      <c r="B14" s="9" t="s">
        <v>201</v>
      </c>
      <c r="C14" s="34" t="s">
        <v>183</v>
      </c>
      <c r="D14" s="34">
        <v>1</v>
      </c>
      <c r="E14" s="55">
        <v>3</v>
      </c>
      <c r="F14" s="10">
        <f>D14*E14</f>
        <v>3</v>
      </c>
      <c r="G14" s="11">
        <f>F14*28</f>
        <v>84</v>
      </c>
      <c r="H14" s="11">
        <v>15</v>
      </c>
      <c r="I14" s="11">
        <f>G14+H14</f>
        <v>99</v>
      </c>
    </row>
    <row r="15" spans="1:9" ht="15" customHeight="1" x14ac:dyDescent="0.25">
      <c r="A15" s="1" t="s">
        <v>202</v>
      </c>
      <c r="B15" s="1"/>
      <c r="C15" s="1"/>
      <c r="D15" s="1"/>
      <c r="E15" s="1"/>
      <c r="F15" s="1"/>
      <c r="G15" s="1"/>
      <c r="H15" s="1"/>
      <c r="I15" s="1"/>
    </row>
    <row r="16" spans="1:9" ht="15" customHeight="1" x14ac:dyDescent="0.25">
      <c r="A16" s="13">
        <v>10</v>
      </c>
      <c r="B16" s="13" t="s">
        <v>203</v>
      </c>
      <c r="C16" s="38" t="s">
        <v>183</v>
      </c>
      <c r="D16" s="38">
        <v>1</v>
      </c>
      <c r="E16" s="56">
        <v>12</v>
      </c>
      <c r="F16" s="14">
        <f>D16*E16</f>
        <v>12</v>
      </c>
      <c r="G16" s="15">
        <f>F16*28</f>
        <v>336</v>
      </c>
      <c r="H16" s="15">
        <v>100</v>
      </c>
      <c r="I16" s="15">
        <f>G16+H16</f>
        <v>436</v>
      </c>
    </row>
    <row r="17" spans="1:9" ht="15" customHeight="1" x14ac:dyDescent="0.25">
      <c r="A17" s="9">
        <v>11</v>
      </c>
      <c r="B17" s="9" t="s">
        <v>204</v>
      </c>
      <c r="C17" s="34" t="s">
        <v>183</v>
      </c>
      <c r="D17" s="34">
        <v>1</v>
      </c>
      <c r="E17" s="55">
        <v>8</v>
      </c>
      <c r="F17" s="10">
        <f>D17*E17</f>
        <v>8</v>
      </c>
      <c r="G17" s="11">
        <f>F17*28</f>
        <v>224</v>
      </c>
      <c r="H17" s="11">
        <v>60</v>
      </c>
      <c r="I17" s="11">
        <f>G17+H17</f>
        <v>284</v>
      </c>
    </row>
    <row r="18" spans="1:9" ht="15" customHeight="1" x14ac:dyDescent="0.25">
      <c r="A18" s="13">
        <v>12</v>
      </c>
      <c r="B18" s="13" t="s">
        <v>205</v>
      </c>
      <c r="C18" s="38" t="s">
        <v>183</v>
      </c>
      <c r="D18" s="38">
        <v>1</v>
      </c>
      <c r="E18" s="56">
        <v>3</v>
      </c>
      <c r="F18" s="14">
        <f>D18*E18</f>
        <v>3</v>
      </c>
      <c r="G18" s="15">
        <f>F18*28</f>
        <v>84</v>
      </c>
      <c r="H18" s="15">
        <v>30</v>
      </c>
      <c r="I18" s="15">
        <f>G18+H18</f>
        <v>114</v>
      </c>
    </row>
    <row r="19" spans="1:9" ht="15" customHeight="1" x14ac:dyDescent="0.25">
      <c r="A19" s="1" t="s">
        <v>206</v>
      </c>
      <c r="B19" s="1"/>
      <c r="C19" s="1"/>
      <c r="D19" s="1"/>
      <c r="E19" s="1"/>
      <c r="F19" s="1"/>
      <c r="G19" s="1"/>
      <c r="H19" s="1"/>
      <c r="I19" s="1"/>
    </row>
    <row r="20" spans="1:9" ht="15" customHeight="1" x14ac:dyDescent="0.25">
      <c r="A20" s="9">
        <v>13</v>
      </c>
      <c r="B20" s="9" t="s">
        <v>207</v>
      </c>
      <c r="C20" s="34" t="s">
        <v>183</v>
      </c>
      <c r="D20" s="34">
        <v>1</v>
      </c>
      <c r="E20" s="55">
        <v>6</v>
      </c>
      <c r="F20" s="10">
        <f t="shared" ref="F20:F25" si="3">D20*E20</f>
        <v>6</v>
      </c>
      <c r="G20" s="11">
        <f t="shared" ref="G20:G25" si="4">F20*28</f>
        <v>168</v>
      </c>
      <c r="H20" s="11">
        <v>30</v>
      </c>
      <c r="I20" s="11">
        <f t="shared" ref="I20:I25" si="5">G20+H20</f>
        <v>198</v>
      </c>
    </row>
    <row r="21" spans="1:9" ht="15" customHeight="1" x14ac:dyDescent="0.25">
      <c r="A21" s="13">
        <v>14</v>
      </c>
      <c r="B21" s="13" t="s">
        <v>208</v>
      </c>
      <c r="C21" s="38" t="s">
        <v>195</v>
      </c>
      <c r="D21" s="38">
        <v>4</v>
      </c>
      <c r="E21" s="56">
        <v>1.5</v>
      </c>
      <c r="F21" s="14">
        <f t="shared" si="3"/>
        <v>6</v>
      </c>
      <c r="G21" s="15">
        <f t="shared" si="4"/>
        <v>168</v>
      </c>
      <c r="H21" s="15">
        <v>30</v>
      </c>
      <c r="I21" s="15">
        <f t="shared" si="5"/>
        <v>198</v>
      </c>
    </row>
    <row r="22" spans="1:9" ht="15" customHeight="1" x14ac:dyDescent="0.25">
      <c r="A22" s="9">
        <v>15</v>
      </c>
      <c r="B22" s="9" t="s">
        <v>209</v>
      </c>
      <c r="C22" s="34" t="s">
        <v>195</v>
      </c>
      <c r="D22" s="34">
        <v>1</v>
      </c>
      <c r="E22" s="55">
        <v>0.5</v>
      </c>
      <c r="F22" s="10">
        <f t="shared" si="3"/>
        <v>0.5</v>
      </c>
      <c r="G22" s="11">
        <f t="shared" si="4"/>
        <v>14</v>
      </c>
      <c r="H22" s="11">
        <v>5</v>
      </c>
      <c r="I22" s="11">
        <f t="shared" si="5"/>
        <v>19</v>
      </c>
    </row>
    <row r="23" spans="1:9" ht="15" customHeight="1" x14ac:dyDescent="0.25">
      <c r="A23" s="13">
        <v>16</v>
      </c>
      <c r="B23" s="13" t="s">
        <v>210</v>
      </c>
      <c r="C23" s="38" t="s">
        <v>183</v>
      </c>
      <c r="D23" s="38">
        <v>1</v>
      </c>
      <c r="E23" s="56">
        <v>4</v>
      </c>
      <c r="F23" s="14">
        <f t="shared" si="3"/>
        <v>4</v>
      </c>
      <c r="G23" s="15">
        <f t="shared" si="4"/>
        <v>112</v>
      </c>
      <c r="H23" s="15">
        <v>20</v>
      </c>
      <c r="I23" s="15">
        <f t="shared" si="5"/>
        <v>132</v>
      </c>
    </row>
    <row r="24" spans="1:9" ht="15" customHeight="1" x14ac:dyDescent="0.25">
      <c r="A24" s="9">
        <v>17</v>
      </c>
      <c r="B24" s="9" t="s">
        <v>211</v>
      </c>
      <c r="C24" s="34" t="s">
        <v>183</v>
      </c>
      <c r="D24" s="34">
        <v>1</v>
      </c>
      <c r="E24" s="55">
        <v>3</v>
      </c>
      <c r="F24" s="10">
        <f t="shared" si="3"/>
        <v>3</v>
      </c>
      <c r="G24" s="11">
        <f t="shared" si="4"/>
        <v>84</v>
      </c>
      <c r="H24" s="11">
        <v>15</v>
      </c>
      <c r="I24" s="11">
        <f t="shared" si="5"/>
        <v>99</v>
      </c>
    </row>
    <row r="25" spans="1:9" ht="15" customHeight="1" x14ac:dyDescent="0.25">
      <c r="A25" s="13">
        <v>18</v>
      </c>
      <c r="B25" s="13" t="s">
        <v>212</v>
      </c>
      <c r="C25" s="38" t="s">
        <v>183</v>
      </c>
      <c r="D25" s="38">
        <v>1</v>
      </c>
      <c r="E25" s="56">
        <v>2</v>
      </c>
      <c r="F25" s="14">
        <f t="shared" si="3"/>
        <v>2</v>
      </c>
      <c r="G25" s="15">
        <f t="shared" si="4"/>
        <v>56</v>
      </c>
      <c r="H25" s="15">
        <v>10</v>
      </c>
      <c r="I25" s="15">
        <f t="shared" si="5"/>
        <v>66</v>
      </c>
    </row>
    <row r="26" spans="1:9" ht="15" customHeight="1" x14ac:dyDescent="0.25">
      <c r="A26" s="1" t="s">
        <v>213</v>
      </c>
      <c r="B26" s="1"/>
      <c r="C26" s="1"/>
      <c r="D26" s="1"/>
      <c r="E26" s="1"/>
      <c r="F26" s="1"/>
      <c r="G26" s="1"/>
      <c r="H26" s="1"/>
      <c r="I26" s="1"/>
    </row>
    <row r="27" spans="1:9" ht="15" customHeight="1" x14ac:dyDescent="0.25">
      <c r="A27" s="9">
        <v>19</v>
      </c>
      <c r="B27" s="9" t="s">
        <v>214</v>
      </c>
      <c r="C27" s="34" t="s">
        <v>183</v>
      </c>
      <c r="D27" s="34">
        <v>1</v>
      </c>
      <c r="E27" s="55">
        <v>12</v>
      </c>
      <c r="F27" s="10">
        <f>D27*E27</f>
        <v>12</v>
      </c>
      <c r="G27" s="11">
        <f>F27*28</f>
        <v>336</v>
      </c>
      <c r="H27" s="11">
        <v>60</v>
      </c>
      <c r="I27" s="11">
        <f>G27+H27</f>
        <v>396</v>
      </c>
    </row>
    <row r="28" spans="1:9" ht="15" customHeight="1" x14ac:dyDescent="0.25">
      <c r="A28" s="13">
        <v>20</v>
      </c>
      <c r="B28" s="13" t="s">
        <v>215</v>
      </c>
      <c r="C28" s="38" t="s">
        <v>183</v>
      </c>
      <c r="D28" s="38">
        <v>1</v>
      </c>
      <c r="E28" s="56">
        <v>6</v>
      </c>
      <c r="F28" s="14">
        <f>D28*E28</f>
        <v>6</v>
      </c>
      <c r="G28" s="15">
        <f>F28*28</f>
        <v>168</v>
      </c>
      <c r="H28" s="15">
        <v>30</v>
      </c>
      <c r="I28" s="15">
        <f>G28+H28</f>
        <v>198</v>
      </c>
    </row>
    <row r="29" spans="1:9" ht="15" customHeight="1" x14ac:dyDescent="0.25">
      <c r="A29" s="1" t="s">
        <v>216</v>
      </c>
      <c r="B29" s="1"/>
      <c r="C29" s="1"/>
      <c r="D29" s="1"/>
      <c r="E29" s="1"/>
      <c r="F29" s="1"/>
      <c r="G29" s="1"/>
      <c r="H29" s="1"/>
      <c r="I29" s="1"/>
    </row>
    <row r="30" spans="1:9" ht="15" customHeight="1" x14ac:dyDescent="0.25">
      <c r="A30" s="9">
        <v>21</v>
      </c>
      <c r="B30" s="9" t="s">
        <v>217</v>
      </c>
      <c r="C30" s="34" t="s">
        <v>183</v>
      </c>
      <c r="D30" s="34">
        <v>1</v>
      </c>
      <c r="E30" s="55">
        <v>12</v>
      </c>
      <c r="F30" s="10">
        <f>D30*E30</f>
        <v>12</v>
      </c>
      <c r="G30" s="11">
        <f>F30*28</f>
        <v>336</v>
      </c>
      <c r="H30" s="11">
        <v>0</v>
      </c>
      <c r="I30" s="11">
        <f>G30+H30</f>
        <v>336</v>
      </c>
    </row>
    <row r="31" spans="1:9" ht="15" customHeight="1" x14ac:dyDescent="0.25">
      <c r="A31" s="13">
        <v>22</v>
      </c>
      <c r="B31" s="13" t="s">
        <v>218</v>
      </c>
      <c r="C31" s="38" t="s">
        <v>219</v>
      </c>
      <c r="D31" s="38">
        <v>1</v>
      </c>
      <c r="E31" s="56">
        <v>0</v>
      </c>
      <c r="F31" s="14">
        <f>D31*E31</f>
        <v>0</v>
      </c>
      <c r="G31" s="15">
        <f>F31*28</f>
        <v>0</v>
      </c>
      <c r="H31" s="15">
        <v>200</v>
      </c>
      <c r="I31" s="15">
        <f>G31+H31</f>
        <v>200</v>
      </c>
    </row>
    <row r="32" spans="1:9" ht="15" customHeight="1" x14ac:dyDescent="0.25">
      <c r="A32" s="17"/>
      <c r="B32" s="17" t="s">
        <v>220</v>
      </c>
      <c r="C32" s="17"/>
      <c r="D32" s="17"/>
      <c r="E32" s="17"/>
      <c r="F32" s="18">
        <f>SUM(F5:F31)</f>
        <v>156.5</v>
      </c>
      <c r="G32" s="19">
        <f>SUM(G5:G31)</f>
        <v>4382</v>
      </c>
      <c r="H32" s="19">
        <f>SUM(H5:H31)</f>
        <v>1260</v>
      </c>
      <c r="I32" s="19">
        <f>SUM(I5:I31)</f>
        <v>5642</v>
      </c>
    </row>
    <row r="34" spans="1:9" ht="24.75" customHeight="1" x14ac:dyDescent="0.25">
      <c r="A34" s="2" t="s">
        <v>221</v>
      </c>
      <c r="B34" s="2"/>
      <c r="C34" s="2"/>
      <c r="D34" s="2"/>
      <c r="E34" s="2"/>
      <c r="F34" s="2"/>
      <c r="G34" s="2"/>
      <c r="H34" s="2"/>
      <c r="I34" s="2"/>
    </row>
  </sheetData>
  <mergeCells count="8">
    <mergeCell ref="A26:I26"/>
    <mergeCell ref="A29:I29"/>
    <mergeCell ref="A34:I34"/>
    <mergeCell ref="A1:I1"/>
    <mergeCell ref="A4:I4"/>
    <mergeCell ref="A11:I11"/>
    <mergeCell ref="A15:I15"/>
    <mergeCell ref="A19:I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Interior Walls</vt:lpstr>
      <vt:lpstr>Ceilings</vt:lpstr>
      <vt:lpstr>Doors &amp; Frames</vt:lpstr>
      <vt:lpstr>Exterior</vt:lpstr>
      <vt:lpstr>Prep &amp; 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Nursultan Temirbaev</cp:lastModifiedBy>
  <cp:revision>0</cp:revision>
  <dcterms:created xsi:type="dcterms:W3CDTF">2026-03-17T16:29:06Z</dcterms:created>
  <dcterms:modified xsi:type="dcterms:W3CDTF">2026-03-17T16:35:16Z</dcterms:modified>
  <dc:language>en-US</dc:language>
</cp:coreProperties>
</file>