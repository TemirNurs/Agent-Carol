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 Summary" sheetId="1" state="visible" r:id="rId3"/>
    <sheet name="Interior Walls" sheetId="2" state="visible" r:id="rId4"/>
    <sheet name="Ceilings" sheetId="3" state="visible" r:id="rId5"/>
    <sheet name="Doors &amp; Frames" sheetId="4" state="visible" r:id="rId6"/>
    <sheet name="Exterior" sheetId="5" state="visible" r:id="rId7"/>
    <sheet name="Prep &amp; Mis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<sst xmlns="http://schemas.openxmlformats.org/spreadsheetml/2006/main" count="228" uniqueCount="160">
  <si>
    <t xml:space="preserve">PAINTING &amp; WALLCOVERING ESTIMATE</t>
  </si>
  <si>
    <t xml:space="preserve">Boot Barn Store #1660 — Columbia, SC</t>
  </si>
  <si>
    <t xml:space="preserve">10050 Two Notch Road, Space/Suite #1, Columbia, SC 29223</t>
  </si>
  <si>
    <t xml:space="preserve">Bid Date: March 19, 2026  |  Prepared by: Carolina Commercial Finishes</t>
  </si>
  <si>
    <t xml:space="preserve">Budget Painting and Wallcovering LLC  |  3308 Chancellor Lane, Monroe, NC 28110  |  (980) 348-1827</t>
  </si>
  <si>
    <t xml:space="preserve">Date Prepared: March 19, 2026 — SOW-VALIDATED ESTIMATE</t>
  </si>
  <si>
    <t xml:space="preserve">SCOPE CATEGORY</t>
  </si>
  <si>
    <t xml:space="preserve">LABOR HRS</t>
  </si>
  <si>
    <t xml:space="preserve">LABOR $</t>
  </si>
  <si>
    <t xml:space="preserve">MATERIALS $</t>
  </si>
  <si>
    <t xml:space="preserve">DIRECT COST</t>
  </si>
  <si>
    <t xml:space="preserve">% OF TOTAL</t>
  </si>
  <si>
    <t xml:space="preserve">1. Interior Walls — Sales Area (P-3, WC-3, WD-5)</t>
  </si>
  <si>
    <t xml:space="preserve">2. Interior Walls — Back of House (P-3, 8 rooms)</t>
  </si>
  <si>
    <t xml:space="preserve">3. Ceilings — Open Deck P-1 Dryfall</t>
  </si>
  <si>
    <t xml:space="preserve">4. Doors &amp; Frames (21 units)</t>
  </si>
  <si>
    <t xml:space="preserve">5. Exterior Painting (P-6 CMU)</t>
  </si>
  <si>
    <t xml:space="preserve">6. Prep, Misc &amp; Equipment</t>
  </si>
  <si>
    <t xml:space="preserve">DIRECT COST TOTALS</t>
  </si>
  <si>
    <t xml:space="preserve">Direct Cost</t>
  </si>
  <si>
    <t xml:space="preserve">Overhead (12%)</t>
  </si>
  <si>
    <t xml:space="preserve">Markup (18%)</t>
  </si>
  <si>
    <t xml:space="preserve">BID PRICE (PAINTING &amp; WALLCOVERING)</t>
  </si>
  <si>
    <t xml:space="preserve">KEY METRICS</t>
  </si>
  <si>
    <t xml:space="preserve">Total Paintable SF (SOW-adjusted):</t>
  </si>
  <si>
    <t xml:space="preserve">Takeoff Total SF (before SOW):</t>
  </si>
  <si>
    <t xml:space="preserve">Blended Rate ($/SF):</t>
  </si>
  <si>
    <t xml:space="preserve">Total Labor Hours:</t>
  </si>
  <si>
    <t xml:space="preserve">Estimated Duration (2-man crew):</t>
  </si>
  <si>
    <t xml:space="preserve">Estimated Duration (3-man crew):</t>
  </si>
  <si>
    <t xml:space="preserve">Labor Rate (burdened):</t>
  </si>
  <si>
    <t xml:space="preserve">$28.00/hr</t>
  </si>
  <si>
    <t xml:space="preserve">EXCLUSIONS</t>
  </si>
  <si>
    <t xml:space="preserve">  •  Electrostatic painting of any equipment</t>
  </si>
  <si>
    <t xml:space="preserve">  •  Floor markings or striping</t>
  </si>
  <si>
    <t xml:space="preserve">  •  Vestibule painting (existing conditions, not in scope)</t>
  </si>
  <si>
    <t xml:space="preserve">  •  Tile areas in restrooms (below wainscot — not painted)</t>
  </si>
  <si>
    <t xml:space="preserve">  •  ACT ceiling grid painting or replacement</t>
  </si>
  <si>
    <t xml:space="preserve">  •  Pressure washing (GC scope)</t>
  </si>
  <si>
    <t xml:space="preserve">  •  Storefront glazing / window work</t>
  </si>
  <si>
    <t xml:space="preserve">  •  Signage installation</t>
  </si>
  <si>
    <t xml:space="preserve">  •  Any work above 22' (lift rental included for ceiling work up to 22')</t>
  </si>
  <si>
    <t xml:space="preserve">  •  Fixture painting or staining (by fixture vendor)</t>
  </si>
  <si>
    <t xml:space="preserve">NOTES</t>
  </si>
  <si>
    <t xml:space="preserve">  •  All paint Sherwin-Williams National Account pricing</t>
  </si>
  <si>
    <t xml:space="preserve">  •  Wallcovering material (WC-3) supplied by tenant; labor and adhesive only in this bid</t>
  </si>
  <si>
    <t xml:space="preserve">  •  WD-5 wood stain/finish materials included in estimate</t>
  </si>
  <si>
    <t xml:space="preserve">  •  P-1 dryfall ceiling rate based on exposed structure with joists/beams at 110 SF/hr — NOT flat ceiling</t>
  </si>
  <si>
    <t xml:space="preserve">  •  Daytime work assumed unless otherwise directed by GC</t>
  </si>
  <si>
    <t xml:space="preserve">  •  One mobilization included; additional mob/demob $500 each</t>
  </si>
  <si>
    <t xml:space="preserve">  •  All new construction — no existing finish remediation required</t>
  </si>
  <si>
    <t xml:space="preserve">  •  Scissor lift included for ceiling work (up to 22')</t>
  </si>
  <si>
    <t xml:space="preserve">  •  Paint systems per T10 Finish Schedule on construction documents</t>
  </si>
  <si>
    <t xml:space="preserve">  •  SOW adjustments validated against architectural drawings (sheets A30, A30.1)</t>
  </si>
  <si>
    <t xml:space="preserve">INTERIOR WALLS — SOW-VALIDATED BREAKDOWN</t>
  </si>
  <si>
    <t xml:space="preserve">SECTION A: SALES AREA (by finish system)</t>
  </si>
  <si>
    <t xml:space="preserve">#</t>
  </si>
  <si>
    <t xml:space="preserve">Room / Area</t>
  </si>
  <si>
    <t xml:space="preserve">Takeoff SF</t>
  </si>
  <si>
    <t xml:space="preserve">SOW %</t>
  </si>
  <si>
    <t xml:space="preserve">Paint SF</t>
  </si>
  <si>
    <t xml:space="preserve">Method</t>
  </si>
  <si>
    <t xml:space="preserve">Coats</t>
  </si>
  <si>
    <t xml:space="preserve">Paint System</t>
  </si>
  <si>
    <t xml:space="preserve">Labor Hrs</t>
  </si>
  <si>
    <t xml:space="preserve">Labor $</t>
  </si>
  <si>
    <t xml:space="preserve">Material $</t>
  </si>
  <si>
    <t xml:space="preserve">Total $</t>
  </si>
  <si>
    <t xml:space="preserve">Night</t>
  </si>
  <si>
    <t xml:space="preserve">Sales Area P-3 Walls</t>
  </si>
  <si>
    <t xml:space="preserve">Spray+BR</t>
  </si>
  <si>
    <t xml:space="preserve">P+2</t>
  </si>
  <si>
    <t xml:space="preserve">SW ProMar 200 Zero VOC Eggshell</t>
  </si>
  <si>
    <t xml:space="preserve">Sales Area WC-3 Wallcovering</t>
  </si>
  <si>
    <t xml:space="preserve">Hand Hang</t>
  </si>
  <si>
    <t xml:space="preserve">1 App</t>
  </si>
  <si>
    <t xml:space="preserve">Brewster Commercial Vinyl (tenant-supplied)</t>
  </si>
  <si>
    <t xml:space="preserve">Sales Area WD-5 Wood Stain</t>
  </si>
  <si>
    <t xml:space="preserve">Brush</t>
  </si>
  <si>
    <t xml:space="preserve">S+2P</t>
  </si>
  <si>
    <t xml:space="preserve">SW WoodClassics Stain + Poly</t>
  </si>
  <si>
    <t xml:space="preserve">SECTION A SUBTOTAL</t>
  </si>
  <si>
    <t xml:space="preserve">SECTION B: BACK OF HOUSE (all P-3 system)</t>
  </si>
  <si>
    <t xml:space="preserve">Stockroom</t>
  </si>
  <si>
    <t xml:space="preserve">Spray</t>
  </si>
  <si>
    <t xml:space="preserve">Elec Room</t>
  </si>
  <si>
    <t xml:space="preserve">B&amp;R</t>
  </si>
  <si>
    <t xml:space="preserve">Utility Closet</t>
  </si>
  <si>
    <t xml:space="preserve">Manager's Office</t>
  </si>
  <si>
    <t xml:space="preserve">Restrooms</t>
  </si>
  <si>
    <t xml:space="preserve">Hallway to Restrooms</t>
  </si>
  <si>
    <t xml:space="preserve">Fitting Rooms</t>
  </si>
  <si>
    <t xml:space="preserve">Closet</t>
  </si>
  <si>
    <t xml:space="preserve">SECTION B SUBTOTAL</t>
  </si>
  <si>
    <t xml:space="preserve">INTERIOR WALLS — GRAND TOTAL</t>
  </si>
  <si>
    <t xml:space="preserve">SOW ADJUSTMENT NOTES</t>
  </si>
  <si>
    <t xml:space="preserve">  •  Stockroom: 100% — Full height new GWB walls, all paintable</t>
  </si>
  <si>
    <t xml:space="preserve">  •  Elec Room / Utility / Manager's Office / Closet: 100% — All new construction GWB</t>
  </si>
  <si>
    <t xml:space="preserve">  •  Restrooms: 75% — Deducted tile wainscot areas below 4' (tile not painted)</t>
  </si>
  <si>
    <t xml:space="preserve">  •  Hallway: 90% — Minor deductions for door openings along corridor</t>
  </si>
  <si>
    <t xml:space="preserve">  •  Fitting Rooms: 85% — Partial walls with fixture mounts/hooks reducing paintable area</t>
  </si>
  <si>
    <t xml:space="preserve">  •  Sales Area P-3: 100% — Togal takeoff already isolates paint walls from WC-3/WD-5 areas</t>
  </si>
  <si>
    <t xml:space="preserve">  •  WC-3 Wallcovering: 100% — Full area as identified in Togal; material supplied by tenant</t>
  </si>
  <si>
    <t xml:space="preserve">  •  WD-5 Wood Stain: 100% — Wood trim/millwork as identified in drawings</t>
  </si>
  <si>
    <t xml:space="preserve">CEILINGS — BY TYPE &amp; AREA</t>
  </si>
  <si>
    <t xml:space="preserve">Area / Room</t>
  </si>
  <si>
    <t xml:space="preserve">Ceiling Type</t>
  </si>
  <si>
    <t xml:space="preserve">Total SF</t>
  </si>
  <si>
    <t xml:space="preserve">Prod Rate (SF/hr)</t>
  </si>
  <si>
    <t xml:space="preserve">Sales Area Open Deck Ceiling</t>
  </si>
  <si>
    <t xml:space="preserve">Exposed Structure/Deck (Dryfall)</t>
  </si>
  <si>
    <t xml:space="preserve">SW ProIndustrial WB Acrylic Dryfall (P-1)</t>
  </si>
  <si>
    <t xml:space="preserve">CEILING TOTALS</t>
  </si>
  <si>
    <t xml:space="preserve">  •  P-1 ceiling is exposed structure (steel joists, beams, metal deck, ductwork) — NOT flat GWB</t>
  </si>
  <si>
    <t xml:space="preserve">  •  Production rate 110 SF/hr accounts for irregular surfaces, spray from lift</t>
  </si>
  <si>
    <t xml:space="preserve">  •  95% SOW applied — minor deductions for HVAC equipment areas</t>
  </si>
  <si>
    <t xml:space="preserve">  •  2.5 coat factor: 1 coat primer + 2 coats dryfall finish</t>
  </si>
  <si>
    <t xml:space="preserve">  •  Scissor lift required — rental cost on Prep &amp; Misc sheet</t>
  </si>
  <si>
    <t xml:space="preserve">  •  BOH ceilings (Stockroom, Elec, Utility, Closet) are open-to-deck and NOT painted per BOH standard</t>
  </si>
  <si>
    <t xml:space="preserve">  •  Manager's Office and Restroom ceilings are existing ACT — NOT painted</t>
  </si>
  <si>
    <t xml:space="preserve">DOORS &amp; FRAMES — ITEMIZED</t>
  </si>
  <si>
    <t xml:space="preserve">Item #</t>
  </si>
  <si>
    <t xml:space="preserve">Description</t>
  </si>
  <si>
    <t xml:space="preserve">Qty</t>
  </si>
  <si>
    <t xml:space="preserve">Hrs/Unit</t>
  </si>
  <si>
    <t xml:space="preserve">Total Hrs</t>
  </si>
  <si>
    <t xml:space="preserve">Mat $/Unit</t>
  </si>
  <si>
    <t xml:space="preserve">Total Mat $</t>
  </si>
  <si>
    <t xml:space="preserve">Single Swing HM Doors + Frames (per door schedule)</t>
  </si>
  <si>
    <t xml:space="preserve">Double Swing Door + Frame</t>
  </si>
  <si>
    <t xml:space="preserve">Sliding Doors (spray)</t>
  </si>
  <si>
    <t xml:space="preserve">DOOR TOTALS</t>
  </si>
  <si>
    <t xml:space="preserve">  •  All HM doors per door schedule — SW ProIndustrial DTM Acrylic Semi-Gloss, 2 coats</t>
  </si>
  <si>
    <t xml:space="preserve">  •  Sliding doors sprayed — lower labor rate per unit</t>
  </si>
  <si>
    <t xml:space="preserve">  •  Frame painting included in per-unit hours</t>
  </si>
  <si>
    <t xml:space="preserve">  •  Hardware masked — not removed</t>
  </si>
  <si>
    <t xml:space="preserve">EXTERIOR PAINTING</t>
  </si>
  <si>
    <t xml:space="preserve">Qty / SF</t>
  </si>
  <si>
    <t xml:space="preserve">Unit</t>
  </si>
  <si>
    <t xml:space="preserve">Prod Rate</t>
  </si>
  <si>
    <t xml:space="preserve">Exterior CMU Walls (P-6)</t>
  </si>
  <si>
    <t xml:space="preserve">SF</t>
  </si>
  <si>
    <t xml:space="preserve">EXTERIOR TOTALS</t>
  </si>
  <si>
    <t xml:space="preserve">  •  P-6 system: SW A-100 Exterior Latex Flat — Block filler + 2 finish coats on CMU</t>
  </si>
  <si>
    <t xml:space="preserve">  •  Block filler coverage 100 SF/gal (heavy fill on new CMU)</t>
  </si>
  <si>
    <t xml:space="preserve">  •  Spray application with backroll</t>
  </si>
  <si>
    <t xml:space="preserve">PREP, MISC &amp; EQUIPMENT</t>
  </si>
  <si>
    <t xml:space="preserve">Rate/Hr</t>
  </si>
  <si>
    <t xml:space="preserve">Surface Prep — Skim/Patch New GWB</t>
  </si>
  <si>
    <t xml:space="preserve">HR</t>
  </si>
  <si>
    <t xml:space="preserve">Caulking — Joints &amp; Transitions</t>
  </si>
  <si>
    <t xml:space="preserve">Floor/Fixture Masking &amp; Protection</t>
  </si>
  <si>
    <t xml:space="preserve">Sprayer Rental (8 days × $150/day)</t>
  </si>
  <si>
    <t xml:space="preserve">LS</t>
  </si>
  <si>
    <t xml:space="preserve">Scissor Lift Rental (5 days × $250/day)</t>
  </si>
  <si>
    <t xml:space="preserve">Mob/Demob (2-man crew, Monroe NC → Columbia SC)</t>
  </si>
  <si>
    <t xml:space="preserve">Daily Setup/Cleanup (1 hr/day × 12 days)</t>
  </si>
  <si>
    <t xml:space="preserve">Touch-up / Punch List</t>
  </si>
  <si>
    <t xml:space="preserve">Supplies (tape, plastic, drops, rollers, tips)</t>
  </si>
  <si>
    <t xml:space="preserve">PREP &amp; MISC TOTALS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</si>
</sst>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\$#,##0.00"/>
    <numFmt numFmtId="167" formatCode="0.0%"/>
    <numFmt numFmtId="168" formatCode="#,##0"/>
    <numFmt numFmtId="169" formatCode="#,##0.00"/>
    <numFmt numFmtId="170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1B2A"/>
      <name val="Georgia"/>
      <family val="0"/>
      <charset val="1"/>
    </font>
    <font>
      <b val="true"/>
      <sz val="11"/>
      <color rgb="FF0D1B2A"/>
      <name val="Georgia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2"/>
      <color rgb="FF008000"/>
      <name val="Georgia"/>
      <family val="0"/>
      <charset val="1"/>
    </font>
    <font>
      <sz val="10"/>
      <color rgb="FF0000FF"/>
      <name val="Calibri"/>
      <family val="0"/>
      <charset val="1"/>
    </font>
    <font>
      <b val="true"/>
      <sz val="11"/>
      <color rgb="FFCC0000"/>
      <name val="Georgia"/>
      <family val="0"/>
      <charset val="1"/>
    </font>
    <font>
      <b val="true"/>
      <sz val="10"/>
      <color rgb="FFCC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1F2937"/>
      </patternFill>
    </fill>
    <fill>
      <patternFill patternType="solid">
        <fgColor rgb="FFF3F4F6"/>
        <bgColor rgb="FFE8F5E9"/>
      </patternFill>
    </fill>
    <fill>
      <patternFill patternType="solid">
        <fgColor rgb="FFE8F5E9"/>
        <bgColor rgb="FFF3F4F6"/>
      </patternFill>
    </fill>
    <fill>
      <patternFill patternType="solid">
        <fgColor rgb="FFFFF9C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B7280"/>
      <rgbColor rgb="FF969696"/>
      <rgbColor rgb="FF0D47A1"/>
      <rgbColor rgb="FF339966"/>
      <rgbColor rgb="FF0D1B2A"/>
      <rgbColor rgb="FF1B5E20"/>
      <rgbColor rgb="FFBF360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tru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 t="s">
        <v>4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3" t="s">
        <v>5</v>
      </c>
      <c r="B6" s="3"/>
      <c r="C6" s="3"/>
      <c r="D6" s="3"/>
      <c r="E6" s="3"/>
      <c r="F6" s="3"/>
    </row>
    <row r="8" customFormat="false" ht="15" hidden="false" customHeight="false" outlineLevel="0" collapsed="false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customFormat="false" ht="15" hidden="false" customHeight="false" outlineLevel="0" collapsed="false">
      <c r="A9" s="5" t="s">
        <v>12</v>
      </c>
      <c r="B9" s="6" t="n">
        <f aca="false">'Interior Walls'!I7</f>
        <v>77.5896666666667</v>
      </c>
      <c r="C9" s="7" t="n">
        <f aca="false">'Interior Walls'!J7</f>
        <v>2172.51066666667</v>
      </c>
      <c r="D9" s="7" t="n">
        <f aca="false">'Interior Walls'!K7</f>
        <v>1379.67604761905</v>
      </c>
      <c r="E9" s="7" t="n">
        <f aca="false">C9+D9</f>
        <v>3552.18671428571</v>
      </c>
      <c r="F9" s="8" t="n">
        <f aca="false">IF(E15=0,0,E9/E15)</f>
        <v>0.131851917254223</v>
      </c>
    </row>
    <row r="10" customFormat="false" ht="15" hidden="false" customHeight="false" outlineLevel="0" collapsed="false">
      <c r="A10" s="9" t="s">
        <v>13</v>
      </c>
      <c r="B10" s="10" t="n">
        <f aca="false">'Interior Walls'!I19</f>
        <v>143.443184761905</v>
      </c>
      <c r="C10" s="11" t="n">
        <f aca="false">'Interior Walls'!J19</f>
        <v>4016.40917333333</v>
      </c>
      <c r="D10" s="11" t="n">
        <f aca="false">'Interior Walls'!K19</f>
        <v>3408.670845</v>
      </c>
      <c r="E10" s="11" t="n">
        <f aca="false">C10+D10</f>
        <v>7425.08001833333</v>
      </c>
      <c r="F10" s="12" t="n">
        <f aca="false">IF(E15=0,0,E10/E15)</f>
        <v>0.275607988804759</v>
      </c>
    </row>
    <row r="11" customFormat="false" ht="15" hidden="false" customHeight="false" outlineLevel="0" collapsed="false">
      <c r="A11" s="5" t="s">
        <v>14</v>
      </c>
      <c r="B11" s="6" t="n">
        <f aca="false">Ceilings!G4</f>
        <v>247.994261363636</v>
      </c>
      <c r="C11" s="7" t="n">
        <f aca="false">Ceilings!H4</f>
        <v>6943.83931818182</v>
      </c>
      <c r="D11" s="7" t="n">
        <f aca="false">Ceilings!I4</f>
        <v>2967.99532</v>
      </c>
      <c r="E11" s="7" t="n">
        <f aca="false">C11+D11</f>
        <v>9911.83463818182</v>
      </c>
      <c r="F11" s="8" t="n">
        <f aca="false">IF(E15=0,0,E11/E15)</f>
        <v>0.36791264245632</v>
      </c>
    </row>
    <row r="12" customFormat="false" ht="15" hidden="false" customHeight="false" outlineLevel="0" collapsed="false">
      <c r="A12" s="9" t="s">
        <v>15</v>
      </c>
      <c r="B12" s="10" t="n">
        <f aca="false">'Doors &amp; Frames'!E6</f>
        <v>30.5</v>
      </c>
      <c r="C12" s="11" t="n">
        <f aca="false">'Doors &amp; Frames'!F6</f>
        <v>854</v>
      </c>
      <c r="D12" s="11" t="n">
        <f aca="false">'Doors &amp; Frames'!H6</f>
        <v>239.22</v>
      </c>
      <c r="E12" s="11" t="n">
        <f aca="false">C12+D12</f>
        <v>1093.22</v>
      </c>
      <c r="F12" s="12" t="n">
        <f aca="false">IF(E15=0,0,E12/E15)</f>
        <v>0.040578709559654</v>
      </c>
    </row>
    <row r="13" customFormat="false" ht="15" hidden="false" customHeight="false" outlineLevel="0" collapsed="false">
      <c r="A13" s="5" t="s">
        <v>16</v>
      </c>
      <c r="B13" s="6" t="n">
        <f aca="false">Exterior!F4</f>
        <v>4.479</v>
      </c>
      <c r="C13" s="7" t="n">
        <f aca="false">Exterior!G4</f>
        <v>125.412</v>
      </c>
      <c r="D13" s="7" t="n">
        <f aca="false">Exterior!H4</f>
        <v>128.9952</v>
      </c>
      <c r="E13" s="7" t="n">
        <f aca="false">C13+D13</f>
        <v>254.4072</v>
      </c>
      <c r="F13" s="8" t="n">
        <f aca="false">IF(E15=0,0,E13/E15)</f>
        <v>0.00944321900320594</v>
      </c>
    </row>
    <row r="14" customFormat="false" ht="15" hidden="false" customHeight="false" outlineLevel="0" collapsed="false">
      <c r="A14" s="9" t="s">
        <v>17</v>
      </c>
      <c r="B14" s="10" t="n">
        <f aca="false">'Prep &amp; Misc'!F12</f>
        <v>68</v>
      </c>
      <c r="C14" s="11" t="n">
        <f aca="false">'Prep &amp; Misc'!G12</f>
        <v>1904</v>
      </c>
      <c r="D14" s="11" t="n">
        <f aca="false">'Prep &amp; Misc'!H12</f>
        <v>2800</v>
      </c>
      <c r="E14" s="11" t="n">
        <f aca="false">C14+D14</f>
        <v>4704</v>
      </c>
      <c r="F14" s="12" t="n">
        <f aca="false">IF(E15=0,0,E14/E15)</f>
        <v>0.174605522921838</v>
      </c>
    </row>
    <row r="15" customFormat="false" ht="15" hidden="false" customHeight="false" outlineLevel="0" collapsed="false">
      <c r="A15" s="13" t="s">
        <v>18</v>
      </c>
      <c r="B15" s="14" t="n">
        <f aca="false">SUM(B9:B14)</f>
        <v>572.006112792208</v>
      </c>
      <c r="C15" s="15" t="n">
        <f aca="false">SUM(C9:C14)</f>
        <v>16016.1711581818</v>
      </c>
      <c r="D15" s="15" t="n">
        <f aca="false">SUM(D9:D14)</f>
        <v>10924.557412619</v>
      </c>
      <c r="E15" s="15" t="n">
        <f aca="false">SUM(E9:E14)</f>
        <v>26940.7285708009</v>
      </c>
      <c r="F15" s="16" t="n">
        <v>1</v>
      </c>
    </row>
    <row r="17" customFormat="false" ht="15" hidden="false" customHeight="false" outlineLevel="0" collapsed="false">
      <c r="A17" s="17" t="s">
        <v>19</v>
      </c>
      <c r="E17" s="18" t="n">
        <f aca="false">E15</f>
        <v>26940.7285708009</v>
      </c>
    </row>
    <row r="18" customFormat="false" ht="15" hidden="false" customHeight="false" outlineLevel="0" collapsed="false">
      <c r="A18" s="17" t="s">
        <v>20</v>
      </c>
      <c r="E18" s="18" t="n">
        <f aca="false">E17*0.12</f>
        <v>3232.8874284961</v>
      </c>
    </row>
    <row r="19" customFormat="false" ht="15" hidden="false" customHeight="false" outlineLevel="0" collapsed="false">
      <c r="A19" s="17" t="s">
        <v>21</v>
      </c>
      <c r="E19" s="18" t="n">
        <f aca="false">(E17+E18)*0.18</f>
        <v>5431.25087987345</v>
      </c>
    </row>
    <row r="20" customFormat="false" ht="21.75" hidden="false" customHeight="true" outlineLevel="0" collapsed="false">
      <c r="A20" s="19" t="s">
        <v>22</v>
      </c>
      <c r="B20" s="20"/>
      <c r="C20" s="20"/>
      <c r="D20" s="20"/>
      <c r="E20" s="21" t="n">
        <f aca="false">E17+E18+E19</f>
        <v>35604.8668791704</v>
      </c>
      <c r="F20" s="20"/>
    </row>
    <row r="22" customFormat="false" ht="15" hidden="false" customHeight="false" outlineLevel="0" collapsed="false">
      <c r="A22" s="22" t="s">
        <v>23</v>
      </c>
      <c r="B22" s="22"/>
      <c r="C22" s="22"/>
      <c r="D22" s="22"/>
      <c r="E22" s="22"/>
      <c r="F22" s="22"/>
    </row>
    <row r="23" customFormat="false" ht="15" hidden="false" customHeight="false" outlineLevel="0" collapsed="false">
      <c r="A23" s="23" t="s">
        <v>24</v>
      </c>
      <c r="B23" s="24" t="n">
        <f aca="false">'Interior Walls'!E20+Ceilings!C3*0.95+Exterior!C3</f>
        <v>33835.4705</v>
      </c>
    </row>
    <row r="24" customFormat="false" ht="15" hidden="false" customHeight="false" outlineLevel="0" collapsed="false">
      <c r="A24" s="25" t="s">
        <v>25</v>
      </c>
      <c r="B24" s="26" t="n">
        <f aca="false">'Interior Walls'!C20+Ceilings!C3+Exterior!C3</f>
        <v>35179.86</v>
      </c>
    </row>
    <row r="25" customFormat="false" ht="15" hidden="false" customHeight="false" outlineLevel="0" collapsed="false">
      <c r="A25" s="23" t="s">
        <v>26</v>
      </c>
      <c r="B25" s="18" t="n">
        <f aca="false">IF(B23=0,0,E20/B23)</f>
        <v>1.05229412663762</v>
      </c>
    </row>
    <row r="26" customFormat="false" ht="15" hidden="false" customHeight="false" outlineLevel="0" collapsed="false">
      <c r="A26" s="23" t="s">
        <v>27</v>
      </c>
      <c r="B26" s="27" t="n">
        <f aca="false">B15</f>
        <v>572.006112792208</v>
      </c>
    </row>
    <row r="27" customFormat="false" ht="15" hidden="false" customHeight="false" outlineLevel="0" collapsed="false">
      <c r="A27" s="23" t="s">
        <v>28</v>
      </c>
      <c r="B27" s="28" t="str">
        <f aca="false">ROUNDUP(B26/(2*8),0)&amp;" working days"</f>
        <v>36 working days</v>
      </c>
    </row>
    <row r="28" customFormat="false" ht="15" hidden="false" customHeight="false" outlineLevel="0" collapsed="false">
      <c r="A28" s="23" t="s">
        <v>29</v>
      </c>
      <c r="B28" s="28" t="str">
        <f aca="false">ROUNDUP(B26/(3*8),0)&amp;" working days"</f>
        <v>24 working days</v>
      </c>
    </row>
    <row r="29" customFormat="false" ht="15" hidden="false" customHeight="false" outlineLevel="0" collapsed="false">
      <c r="A29" s="23" t="s">
        <v>30</v>
      </c>
      <c r="B29" s="29" t="s">
        <v>31</v>
      </c>
    </row>
    <row r="31" customFormat="false" ht="15" hidden="false" customHeight="false" outlineLevel="0" collapsed="false">
      <c r="A31" s="30" t="s">
        <v>32</v>
      </c>
      <c r="B31" s="30"/>
      <c r="C31" s="30"/>
      <c r="D31" s="30"/>
      <c r="E31" s="30"/>
      <c r="F31" s="30"/>
    </row>
    <row r="32" customFormat="false" ht="15" hidden="false" customHeight="false" outlineLevel="0" collapsed="false">
      <c r="A32" s="31" t="s">
        <v>33</v>
      </c>
      <c r="B32" s="31"/>
      <c r="C32" s="31"/>
      <c r="D32" s="31"/>
      <c r="E32" s="31"/>
      <c r="F32" s="31"/>
    </row>
    <row r="33" customFormat="false" ht="15" hidden="false" customHeight="false" outlineLevel="0" collapsed="false">
      <c r="A33" s="31" t="s">
        <v>34</v>
      </c>
      <c r="B33" s="31"/>
      <c r="C33" s="31"/>
      <c r="D33" s="31"/>
      <c r="E33" s="31"/>
      <c r="F33" s="31"/>
    </row>
    <row r="34" customFormat="false" ht="15" hidden="false" customHeight="false" outlineLevel="0" collapsed="false">
      <c r="A34" s="31" t="s">
        <v>35</v>
      </c>
      <c r="B34" s="31"/>
      <c r="C34" s="31"/>
      <c r="D34" s="31"/>
      <c r="E34" s="31"/>
      <c r="F34" s="31"/>
    </row>
    <row r="35" customFormat="false" ht="15" hidden="false" customHeight="false" outlineLevel="0" collapsed="false">
      <c r="A35" s="31" t="s">
        <v>36</v>
      </c>
      <c r="B35" s="31"/>
      <c r="C35" s="31"/>
      <c r="D35" s="31"/>
      <c r="E35" s="31"/>
      <c r="F35" s="31"/>
    </row>
    <row r="36" customFormat="false" ht="15" hidden="false" customHeight="false" outlineLevel="0" collapsed="false">
      <c r="A36" s="31" t="s">
        <v>37</v>
      </c>
      <c r="B36" s="31"/>
      <c r="C36" s="31"/>
      <c r="D36" s="31"/>
      <c r="E36" s="31"/>
      <c r="F36" s="31"/>
    </row>
    <row r="37" customFormat="false" ht="15" hidden="false" customHeight="false" outlineLevel="0" collapsed="false">
      <c r="A37" s="31" t="s">
        <v>38</v>
      </c>
      <c r="B37" s="31"/>
      <c r="C37" s="31"/>
      <c r="D37" s="31"/>
      <c r="E37" s="31"/>
      <c r="F37" s="31"/>
    </row>
    <row r="38" customFormat="false" ht="15" hidden="false" customHeight="false" outlineLevel="0" collapsed="false">
      <c r="A38" s="31" t="s">
        <v>39</v>
      </c>
      <c r="B38" s="31"/>
      <c r="C38" s="31"/>
      <c r="D38" s="31"/>
      <c r="E38" s="31"/>
      <c r="F38" s="31"/>
    </row>
    <row r="39" customFormat="false" ht="15" hidden="false" customHeight="false" outlineLevel="0" collapsed="false">
      <c r="A39" s="31" t="s">
        <v>40</v>
      </c>
      <c r="B39" s="31"/>
      <c r="C39" s="31"/>
      <c r="D39" s="31"/>
      <c r="E39" s="31"/>
      <c r="F39" s="31"/>
    </row>
    <row r="40" customFormat="false" ht="15" hidden="false" customHeight="false" outlineLevel="0" collapsed="false">
      <c r="A40" s="31" t="s">
        <v>41</v>
      </c>
      <c r="B40" s="31"/>
      <c r="C40" s="31"/>
      <c r="D40" s="31"/>
      <c r="E40" s="31"/>
      <c r="F40" s="31"/>
    </row>
    <row r="41" customFormat="false" ht="15" hidden="false" customHeight="false" outlineLevel="0" collapsed="false">
      <c r="A41" s="31" t="s">
        <v>42</v>
      </c>
      <c r="B41" s="31"/>
      <c r="C41" s="31"/>
      <c r="D41" s="31"/>
      <c r="E41" s="31"/>
      <c r="F41" s="31"/>
    </row>
    <row r="43" customFormat="false" ht="15" hidden="false" customHeight="false" outlineLevel="0" collapsed="false">
      <c r="A43" s="22" t="s">
        <v>43</v>
      </c>
      <c r="B43" s="22"/>
      <c r="C43" s="22"/>
      <c r="D43" s="22"/>
      <c r="E43" s="22"/>
      <c r="F43" s="22"/>
    </row>
    <row r="44" customFormat="false" ht="15" hidden="false" customHeight="false" outlineLevel="0" collapsed="false">
      <c r="A44" s="32" t="s">
        <v>44</v>
      </c>
      <c r="B44" s="32"/>
      <c r="C44" s="32"/>
      <c r="D44" s="32"/>
      <c r="E44" s="32"/>
      <c r="F44" s="32"/>
    </row>
    <row r="45" customFormat="false" ht="15" hidden="false" customHeight="false" outlineLevel="0" collapsed="false">
      <c r="A45" s="32" t="s">
        <v>45</v>
      </c>
      <c r="B45" s="32"/>
      <c r="C45" s="32"/>
      <c r="D45" s="32"/>
      <c r="E45" s="32"/>
      <c r="F45" s="32"/>
    </row>
    <row r="46" customFormat="false" ht="15" hidden="false" customHeight="false" outlineLevel="0" collapsed="false">
      <c r="A46" s="32" t="s">
        <v>46</v>
      </c>
      <c r="B46" s="32"/>
      <c r="C46" s="32"/>
      <c r="D46" s="32"/>
      <c r="E46" s="32"/>
      <c r="F46" s="32"/>
    </row>
    <row r="47" customFormat="false" ht="15" hidden="false" customHeight="false" outlineLevel="0" collapsed="false">
      <c r="A47" s="32" t="s">
        <v>47</v>
      </c>
      <c r="B47" s="32"/>
      <c r="C47" s="32"/>
      <c r="D47" s="32"/>
      <c r="E47" s="32"/>
      <c r="F47" s="32"/>
    </row>
    <row r="48" customFormat="false" ht="15" hidden="false" customHeight="false" outlineLevel="0" collapsed="false">
      <c r="A48" s="32" t="s">
        <v>48</v>
      </c>
      <c r="B48" s="32"/>
      <c r="C48" s="32"/>
      <c r="D48" s="32"/>
      <c r="E48" s="32"/>
      <c r="F48" s="32"/>
    </row>
    <row r="49" customFormat="false" ht="15" hidden="false" customHeight="false" outlineLevel="0" collapsed="false">
      <c r="A49" s="32" t="s">
        <v>49</v>
      </c>
      <c r="B49" s="32"/>
      <c r="C49" s="32"/>
      <c r="D49" s="32"/>
      <c r="E49" s="32"/>
      <c r="F49" s="32"/>
    </row>
    <row r="50" customFormat="false" ht="15" hidden="false" customHeight="false" outlineLevel="0" collapsed="false">
      <c r="A50" s="32" t="s">
        <v>50</v>
      </c>
      <c r="B50" s="32"/>
      <c r="C50" s="32"/>
      <c r="D50" s="32"/>
      <c r="E50" s="32"/>
      <c r="F50" s="32"/>
    </row>
    <row r="51" customFormat="false" ht="15" hidden="false" customHeight="false" outlineLevel="0" collapsed="false">
      <c r="A51" s="32" t="s">
        <v>51</v>
      </c>
      <c r="B51" s="32"/>
      <c r="C51" s="32"/>
      <c r="D51" s="32"/>
      <c r="E51" s="32"/>
      <c r="F51" s="32"/>
    </row>
    <row r="52" customFormat="false" ht="15" hidden="false" customHeight="false" outlineLevel="0" collapsed="false">
      <c r="A52" s="32" t="s">
        <v>52</v>
      </c>
      <c r="B52" s="32"/>
      <c r="C52" s="32"/>
      <c r="D52" s="32"/>
      <c r="E52" s="32"/>
      <c r="F52" s="32"/>
    </row>
    <row r="53" customFormat="false" ht="15" hidden="false" customHeight="false" outlineLevel="0" collapsed="false">
      <c r="A53" s="32" t="s">
        <v>53</v>
      </c>
      <c r="B53" s="32"/>
      <c r="C53" s="32"/>
      <c r="D53" s="32"/>
      <c r="E53" s="32"/>
      <c r="F53" s="32"/>
    </row>
  </sheetData>
  <mergeCells count="29">
    <mergeCell ref="A1:F1"/>
    <mergeCell ref="A2:F2"/>
    <mergeCell ref="A3:F3"/>
    <mergeCell ref="A4:F4"/>
    <mergeCell ref="A5:F5"/>
    <mergeCell ref="A6:F6"/>
    <mergeCell ref="A22:F22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tru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3" min="13" style="0" width="8"/>
  </cols>
  <sheetData>
    <row r="1" customFormat="false" ht="24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66</v>
      </c>
      <c r="L3" s="4" t="s">
        <v>67</v>
      </c>
      <c r="M3" s="4" t="s">
        <v>68</v>
      </c>
    </row>
    <row r="4" customFormat="false" ht="15" hidden="false" customHeight="false" outlineLevel="0" collapsed="false">
      <c r="A4" s="5" t="n">
        <v>1</v>
      </c>
      <c r="B4" s="5" t="s">
        <v>69</v>
      </c>
      <c r="C4" s="33" t="n">
        <v>4718.2</v>
      </c>
      <c r="D4" s="34" t="n">
        <v>1</v>
      </c>
      <c r="E4" s="35" t="n">
        <f aca="false">C4*D4</f>
        <v>4718.2</v>
      </c>
      <c r="F4" s="36" t="s">
        <v>70</v>
      </c>
      <c r="G4" s="36" t="s">
        <v>71</v>
      </c>
      <c r="H4" s="5" t="s">
        <v>72</v>
      </c>
      <c r="I4" s="6" t="n">
        <f aca="false">E4/250*2</f>
        <v>37.7456</v>
      </c>
      <c r="J4" s="7" t="n">
        <f aca="false">I4*28</f>
        <v>1056.8768</v>
      </c>
      <c r="K4" s="7" t="n">
        <f aca="false">E4/400*22 + E4/350*28*2</f>
        <v>1014.413</v>
      </c>
      <c r="L4" s="7" t="n">
        <f aca="false">J4+K4</f>
        <v>2071.2898</v>
      </c>
      <c r="M4" s="36"/>
    </row>
    <row r="5" customFormat="false" ht="15" hidden="false" customHeight="false" outlineLevel="0" collapsed="false">
      <c r="A5" s="9" t="n">
        <v>2</v>
      </c>
      <c r="B5" s="9" t="s">
        <v>73</v>
      </c>
      <c r="C5" s="37" t="n">
        <v>1811.61</v>
      </c>
      <c r="D5" s="38" t="n">
        <v>1</v>
      </c>
      <c r="E5" s="39" t="n">
        <f aca="false">C5*D5</f>
        <v>1811.61</v>
      </c>
      <c r="F5" s="40" t="s">
        <v>74</v>
      </c>
      <c r="G5" s="40" t="s">
        <v>75</v>
      </c>
      <c r="H5" s="9" t="s">
        <v>76</v>
      </c>
      <c r="I5" s="10" t="n">
        <f aca="false">E5/50*1</f>
        <v>36.2322</v>
      </c>
      <c r="J5" s="11" t="n">
        <f aca="false">I5*28</f>
        <v>1014.5016</v>
      </c>
      <c r="K5" s="11" t="n">
        <f aca="false">E5*0.15</f>
        <v>271.7415</v>
      </c>
      <c r="L5" s="11" t="n">
        <f aca="false">J5+K5</f>
        <v>1286.2431</v>
      </c>
      <c r="M5" s="40"/>
    </row>
    <row r="6" customFormat="false" ht="15" hidden="false" customHeight="false" outlineLevel="0" collapsed="false">
      <c r="A6" s="5" t="n">
        <v>3</v>
      </c>
      <c r="B6" s="5" t="s">
        <v>77</v>
      </c>
      <c r="C6" s="33" t="n">
        <v>270.89</v>
      </c>
      <c r="D6" s="34" t="n">
        <v>1</v>
      </c>
      <c r="E6" s="35" t="n">
        <f aca="false">C6*D6</f>
        <v>270.89</v>
      </c>
      <c r="F6" s="36" t="s">
        <v>78</v>
      </c>
      <c r="G6" s="36" t="s">
        <v>79</v>
      </c>
      <c r="H6" s="5" t="s">
        <v>80</v>
      </c>
      <c r="I6" s="6" t="n">
        <f aca="false">E6/75*1</f>
        <v>3.61186666666667</v>
      </c>
      <c r="J6" s="7" t="n">
        <f aca="false">I6*28</f>
        <v>101.132266666667</v>
      </c>
      <c r="K6" s="7" t="n">
        <f aca="false">E6/300*35 + E6/350*40*2</f>
        <v>93.5215476190476</v>
      </c>
      <c r="L6" s="7" t="n">
        <f aca="false">J6+K6</f>
        <v>194.653814285714</v>
      </c>
      <c r="M6" s="36"/>
    </row>
    <row r="7" customFormat="false" ht="15" hidden="false" customHeight="false" outlineLevel="0" collapsed="false">
      <c r="A7" s="13"/>
      <c r="B7" s="13" t="s">
        <v>81</v>
      </c>
      <c r="C7" s="41" t="n">
        <f aca="false">SUM(C4:C6)</f>
        <v>6800.7</v>
      </c>
      <c r="D7" s="42"/>
      <c r="E7" s="41" t="n">
        <f aca="false">SUM(E4:E6)</f>
        <v>6800.7</v>
      </c>
      <c r="F7" s="42"/>
      <c r="G7" s="42"/>
      <c r="H7" s="42"/>
      <c r="I7" s="14" t="n">
        <f aca="false">SUM(I4:I6)</f>
        <v>77.5896666666667</v>
      </c>
      <c r="J7" s="15" t="n">
        <f aca="false">SUM(J4:J6)</f>
        <v>2172.51066666667</v>
      </c>
      <c r="K7" s="15" t="n">
        <f aca="false">SUM(K4:K6)</f>
        <v>1379.67604761905</v>
      </c>
      <c r="L7" s="15" t="n">
        <f aca="false">SUM(L4:L6)</f>
        <v>3552.18671428571</v>
      </c>
      <c r="M7" s="42"/>
    </row>
    <row r="9" customFormat="false" ht="15" hidden="false" customHeight="false" outlineLevel="0" collapsed="false">
      <c r="A9" s="2" t="s">
        <v>82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61</v>
      </c>
      <c r="G10" s="4" t="s">
        <v>62</v>
      </c>
      <c r="H10" s="4" t="s">
        <v>63</v>
      </c>
      <c r="I10" s="4" t="s">
        <v>64</v>
      </c>
      <c r="J10" s="4" t="s">
        <v>65</v>
      </c>
      <c r="K10" s="4" t="s">
        <v>66</v>
      </c>
      <c r="L10" s="4" t="s">
        <v>67</v>
      </c>
      <c r="M10" s="4" t="s">
        <v>68</v>
      </c>
    </row>
    <row r="11" customFormat="false" ht="15" hidden="false" customHeight="false" outlineLevel="0" collapsed="false">
      <c r="A11" s="5" t="n">
        <v>4</v>
      </c>
      <c r="B11" s="5" t="s">
        <v>83</v>
      </c>
      <c r="C11" s="33" t="n">
        <v>9070.95</v>
      </c>
      <c r="D11" s="34" t="n">
        <v>1</v>
      </c>
      <c r="E11" s="35" t="n">
        <f aca="false">C11*D11</f>
        <v>9070.95</v>
      </c>
      <c r="F11" s="36" t="s">
        <v>84</v>
      </c>
      <c r="G11" s="36" t="s">
        <v>71</v>
      </c>
      <c r="H11" s="5" t="s">
        <v>72</v>
      </c>
      <c r="I11" s="6" t="n">
        <f aca="false">E11/300*2</f>
        <v>60.473</v>
      </c>
      <c r="J11" s="7" t="n">
        <f aca="false">I11*28</f>
        <v>1693.244</v>
      </c>
      <c r="K11" s="7" t="n">
        <f aca="false">E11/400*22 + E11/350*28*2</f>
        <v>1950.25425</v>
      </c>
      <c r="L11" s="7" t="n">
        <f aca="false">J11+K11</f>
        <v>3643.49825</v>
      </c>
      <c r="M11" s="36"/>
    </row>
    <row r="12" customFormat="false" ht="15" hidden="false" customHeight="false" outlineLevel="0" collapsed="false">
      <c r="A12" s="9" t="n">
        <v>5</v>
      </c>
      <c r="B12" s="9" t="s">
        <v>85</v>
      </c>
      <c r="C12" s="37" t="n">
        <v>1117.07</v>
      </c>
      <c r="D12" s="38" t="n">
        <v>1</v>
      </c>
      <c r="E12" s="39" t="n">
        <f aca="false">C12*D12</f>
        <v>1117.07</v>
      </c>
      <c r="F12" s="40" t="s">
        <v>86</v>
      </c>
      <c r="G12" s="40" t="s">
        <v>71</v>
      </c>
      <c r="H12" s="9" t="s">
        <v>72</v>
      </c>
      <c r="I12" s="10" t="n">
        <f aca="false">E12/175*2</f>
        <v>12.7665142857143</v>
      </c>
      <c r="J12" s="11" t="n">
        <f aca="false">I12*28</f>
        <v>357.4624</v>
      </c>
      <c r="K12" s="11" t="n">
        <f aca="false">E12/400*22 + E12/350*28*2</f>
        <v>240.17005</v>
      </c>
      <c r="L12" s="11" t="n">
        <f aca="false">J12+K12</f>
        <v>597.63245</v>
      </c>
      <c r="M12" s="40"/>
    </row>
    <row r="13" customFormat="false" ht="15" hidden="false" customHeight="false" outlineLevel="0" collapsed="false">
      <c r="A13" s="5" t="n">
        <v>6</v>
      </c>
      <c r="B13" s="5" t="s">
        <v>87</v>
      </c>
      <c r="C13" s="33" t="n">
        <v>701.97</v>
      </c>
      <c r="D13" s="34" t="n">
        <v>1</v>
      </c>
      <c r="E13" s="35" t="n">
        <f aca="false">C13*D13</f>
        <v>701.97</v>
      </c>
      <c r="F13" s="36" t="s">
        <v>86</v>
      </c>
      <c r="G13" s="36" t="s">
        <v>71</v>
      </c>
      <c r="H13" s="5" t="s">
        <v>72</v>
      </c>
      <c r="I13" s="6" t="n">
        <f aca="false">E13/175*2</f>
        <v>8.02251428571429</v>
      </c>
      <c r="J13" s="7" t="n">
        <f aca="false">I13*28</f>
        <v>224.6304</v>
      </c>
      <c r="K13" s="7" t="n">
        <f aca="false">E13/400*22 + E13/350*28*2</f>
        <v>150.92355</v>
      </c>
      <c r="L13" s="7" t="n">
        <f aca="false">J13+K13</f>
        <v>375.55395</v>
      </c>
      <c r="M13" s="36"/>
    </row>
    <row r="14" customFormat="false" ht="15" hidden="false" customHeight="false" outlineLevel="0" collapsed="false">
      <c r="A14" s="9" t="n">
        <v>7</v>
      </c>
      <c r="B14" s="9" t="s">
        <v>88</v>
      </c>
      <c r="C14" s="37" t="n">
        <v>611.11</v>
      </c>
      <c r="D14" s="38" t="n">
        <v>1</v>
      </c>
      <c r="E14" s="39" t="n">
        <f aca="false">C14*D14</f>
        <v>611.11</v>
      </c>
      <c r="F14" s="40" t="s">
        <v>86</v>
      </c>
      <c r="G14" s="40" t="s">
        <v>71</v>
      </c>
      <c r="H14" s="9" t="s">
        <v>72</v>
      </c>
      <c r="I14" s="10" t="n">
        <f aca="false">E14/175*2</f>
        <v>6.98411428571429</v>
      </c>
      <c r="J14" s="11" t="n">
        <f aca="false">I14*28</f>
        <v>195.5552</v>
      </c>
      <c r="K14" s="11" t="n">
        <f aca="false">E14/400*22 + E14/350*28*2</f>
        <v>131.38865</v>
      </c>
      <c r="L14" s="11" t="n">
        <f aca="false">J14+K14</f>
        <v>326.94385</v>
      </c>
      <c r="M14" s="40"/>
    </row>
    <row r="15" customFormat="false" ht="15" hidden="false" customHeight="false" outlineLevel="0" collapsed="false">
      <c r="A15" s="5" t="n">
        <v>8</v>
      </c>
      <c r="B15" s="5" t="s">
        <v>89</v>
      </c>
      <c r="C15" s="33" t="n">
        <v>1548.19</v>
      </c>
      <c r="D15" s="43" t="n">
        <v>0.75</v>
      </c>
      <c r="E15" s="35" t="n">
        <f aca="false">C15*D15</f>
        <v>1161.1425</v>
      </c>
      <c r="F15" s="36" t="s">
        <v>86</v>
      </c>
      <c r="G15" s="36" t="s">
        <v>71</v>
      </c>
      <c r="H15" s="5" t="s">
        <v>72</v>
      </c>
      <c r="I15" s="6" t="n">
        <f aca="false">E15/150*2</f>
        <v>15.4819</v>
      </c>
      <c r="J15" s="7" t="n">
        <f aca="false">I15*28</f>
        <v>433.4932</v>
      </c>
      <c r="K15" s="7" t="n">
        <f aca="false">E15/400*22 + E15/350*28*2</f>
        <v>249.6456375</v>
      </c>
      <c r="L15" s="7" t="n">
        <f aca="false">J15+K15</f>
        <v>683.1388375</v>
      </c>
      <c r="M15" s="36"/>
    </row>
    <row r="16" customFormat="false" ht="15" hidden="false" customHeight="false" outlineLevel="0" collapsed="false">
      <c r="A16" s="9" t="n">
        <v>9</v>
      </c>
      <c r="B16" s="9" t="s">
        <v>90</v>
      </c>
      <c r="C16" s="37" t="n">
        <v>833.56</v>
      </c>
      <c r="D16" s="43" t="n">
        <v>0.9</v>
      </c>
      <c r="E16" s="39" t="n">
        <f aca="false">C16*D16</f>
        <v>750.204</v>
      </c>
      <c r="F16" s="40" t="s">
        <v>86</v>
      </c>
      <c r="G16" s="40" t="s">
        <v>71</v>
      </c>
      <c r="H16" s="9" t="s">
        <v>72</v>
      </c>
      <c r="I16" s="10" t="n">
        <f aca="false">E16/175*2</f>
        <v>8.57376</v>
      </c>
      <c r="J16" s="11" t="n">
        <f aca="false">I16*28</f>
        <v>240.06528</v>
      </c>
      <c r="K16" s="11" t="n">
        <f aca="false">E16/400*22 + E16/350*28*2</f>
        <v>161.29386</v>
      </c>
      <c r="L16" s="11" t="n">
        <f aca="false">J16+K16</f>
        <v>401.35914</v>
      </c>
      <c r="M16" s="40"/>
    </row>
    <row r="17" customFormat="false" ht="15" hidden="false" customHeight="false" outlineLevel="0" collapsed="false">
      <c r="A17" s="5" t="n">
        <v>10</v>
      </c>
      <c r="B17" s="5" t="s">
        <v>91</v>
      </c>
      <c r="C17" s="33" t="n">
        <v>1997.89</v>
      </c>
      <c r="D17" s="43" t="n">
        <v>0.85</v>
      </c>
      <c r="E17" s="35" t="n">
        <f aca="false">C17*D17</f>
        <v>1698.2065</v>
      </c>
      <c r="F17" s="36" t="s">
        <v>86</v>
      </c>
      <c r="G17" s="36" t="s">
        <v>71</v>
      </c>
      <c r="H17" s="5" t="s">
        <v>72</v>
      </c>
      <c r="I17" s="6" t="n">
        <f aca="false">E17/150*2</f>
        <v>22.6427533333333</v>
      </c>
      <c r="J17" s="7" t="n">
        <f aca="false">I17*28</f>
        <v>633.997093333333</v>
      </c>
      <c r="K17" s="7" t="n">
        <f aca="false">E17/400*22 + E17/350*28*2</f>
        <v>365.1143975</v>
      </c>
      <c r="L17" s="7" t="n">
        <f aca="false">J17+K17</f>
        <v>999.111490833333</v>
      </c>
      <c r="M17" s="36"/>
    </row>
    <row r="18" customFormat="false" ht="15" hidden="false" customHeight="false" outlineLevel="0" collapsed="false">
      <c r="A18" s="9" t="n">
        <v>11</v>
      </c>
      <c r="B18" s="9" t="s">
        <v>92</v>
      </c>
      <c r="C18" s="37" t="n">
        <v>743.63</v>
      </c>
      <c r="D18" s="38" t="n">
        <v>1</v>
      </c>
      <c r="E18" s="39" t="n">
        <f aca="false">C18*D18</f>
        <v>743.63</v>
      </c>
      <c r="F18" s="40" t="s">
        <v>86</v>
      </c>
      <c r="G18" s="40" t="s">
        <v>71</v>
      </c>
      <c r="H18" s="9" t="s">
        <v>72</v>
      </c>
      <c r="I18" s="10" t="n">
        <f aca="false">E18/175*2</f>
        <v>8.49862857142857</v>
      </c>
      <c r="J18" s="11" t="n">
        <f aca="false">I18*28</f>
        <v>237.9616</v>
      </c>
      <c r="K18" s="11" t="n">
        <f aca="false">E18/400*22 + E18/350*28*2</f>
        <v>159.88045</v>
      </c>
      <c r="L18" s="11" t="n">
        <f aca="false">J18+K18</f>
        <v>397.84205</v>
      </c>
      <c r="M18" s="40"/>
    </row>
    <row r="19" customFormat="false" ht="15" hidden="false" customHeight="false" outlineLevel="0" collapsed="false">
      <c r="A19" s="13"/>
      <c r="B19" s="13" t="s">
        <v>93</v>
      </c>
      <c r="C19" s="41" t="n">
        <f aca="false">SUM(C11:C18)</f>
        <v>16624.37</v>
      </c>
      <c r="D19" s="42"/>
      <c r="E19" s="41" t="n">
        <f aca="false">SUM(E11:E18)</f>
        <v>15854.283</v>
      </c>
      <c r="F19" s="42"/>
      <c r="G19" s="42"/>
      <c r="H19" s="42"/>
      <c r="I19" s="14" t="n">
        <f aca="false">SUM(I11:I18)</f>
        <v>143.443184761905</v>
      </c>
      <c r="J19" s="15" t="n">
        <f aca="false">SUM(J11:J18)</f>
        <v>4016.40917333333</v>
      </c>
      <c r="K19" s="15" t="n">
        <f aca="false">SUM(K11:K18)</f>
        <v>3408.670845</v>
      </c>
      <c r="L19" s="15" t="n">
        <f aca="false">SUM(L11:L18)</f>
        <v>7425.08001833333</v>
      </c>
      <c r="M19" s="42"/>
    </row>
    <row r="20" customFormat="false" ht="15" hidden="false" customHeight="false" outlineLevel="0" collapsed="false">
      <c r="A20" s="13"/>
      <c r="B20" s="13" t="s">
        <v>94</v>
      </c>
      <c r="C20" s="41" t="n">
        <f aca="false">C7+C19</f>
        <v>23425.07</v>
      </c>
      <c r="D20" s="42"/>
      <c r="E20" s="41" t="n">
        <f aca="false">E7+E19</f>
        <v>22654.983</v>
      </c>
      <c r="F20" s="42"/>
      <c r="G20" s="42"/>
      <c r="H20" s="42"/>
      <c r="I20" s="14" t="n">
        <f aca="false">I7+I19</f>
        <v>221.032851428571</v>
      </c>
      <c r="J20" s="15" t="n">
        <f aca="false">J7+J19</f>
        <v>6188.91984</v>
      </c>
      <c r="K20" s="15" t="n">
        <f aca="false">K7+K19</f>
        <v>4788.34689261905</v>
      </c>
      <c r="L20" s="15" t="n">
        <f aca="false">L7+L19</f>
        <v>10977.2667326191</v>
      </c>
      <c r="M20" s="42"/>
    </row>
    <row r="22" customFormat="false" ht="15" hidden="false" customHeight="false" outlineLevel="0" collapsed="false">
      <c r="A22" s="22" t="s">
        <v>95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customFormat="false" ht="15" hidden="false" customHeight="false" outlineLevel="0" collapsed="false">
      <c r="A23" s="32" t="s">
        <v>96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customFormat="false" ht="15" hidden="false" customHeight="false" outlineLevel="0" collapsed="false">
      <c r="A24" s="32" t="s">
        <v>97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customFormat="false" ht="15" hidden="false" customHeight="false" outlineLevel="0" collapsed="false">
      <c r="A25" s="32" t="s">
        <v>98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customFormat="false" ht="15" hidden="false" customHeight="false" outlineLevel="0" collapsed="false">
      <c r="A26" s="32" t="s">
        <v>99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customFormat="false" ht="15" hidden="false" customHeight="false" outlineLevel="0" collapsed="false">
      <c r="A27" s="32" t="s">
        <v>100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customFormat="false" ht="15" hidden="false" customHeight="false" outlineLevel="0" collapsed="false">
      <c r="A28" s="32" t="s">
        <v>101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customFormat="false" ht="15" hidden="false" customHeight="false" outlineLevel="0" collapsed="false">
      <c r="A29" s="32" t="s">
        <v>102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customFormat="false" ht="15" hidden="false" customHeight="false" outlineLevel="0" collapsed="false">
      <c r="A30" s="32" t="s">
        <v>103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</sheetData>
  <mergeCells count="12">
    <mergeCell ref="A1:M1"/>
    <mergeCell ref="A2:M2"/>
    <mergeCell ref="A9:M9"/>
    <mergeCell ref="A22:M22"/>
    <mergeCell ref="A23:M23"/>
    <mergeCell ref="A24:M24"/>
    <mergeCell ref="A25:M25"/>
    <mergeCell ref="A26:M26"/>
    <mergeCell ref="A27:M27"/>
    <mergeCell ref="A28:M28"/>
    <mergeCell ref="A29:M29"/>
    <mergeCell ref="A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10" min="8" style="0" width="14"/>
  </cols>
  <sheetData>
    <row r="1" customFormat="false" ht="24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4" t="s">
        <v>105</v>
      </c>
      <c r="B2" s="4" t="s">
        <v>106</v>
      </c>
      <c r="C2" s="4" t="s">
        <v>107</v>
      </c>
      <c r="D2" s="4" t="s">
        <v>108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</row>
    <row r="3" customFormat="false" ht="15" hidden="false" customHeight="false" outlineLevel="0" collapsed="false">
      <c r="A3" s="5" t="s">
        <v>109</v>
      </c>
      <c r="B3" s="5" t="s">
        <v>110</v>
      </c>
      <c r="C3" s="33" t="n">
        <v>11486.05</v>
      </c>
      <c r="D3" s="44" t="n">
        <v>110</v>
      </c>
      <c r="E3" s="36" t="s">
        <v>71</v>
      </c>
      <c r="F3" s="5" t="s">
        <v>111</v>
      </c>
      <c r="G3" s="6" t="n">
        <f aca="false">C3*0.95/D3*2.5</f>
        <v>247.994261363636</v>
      </c>
      <c r="H3" s="7" t="n">
        <f aca="false">G3*28</f>
        <v>6943.83931818182</v>
      </c>
      <c r="I3" s="7" t="n">
        <f aca="false">C3*0.95/250*20 + C3*0.95/250*24*2</f>
        <v>2967.99532</v>
      </c>
      <c r="J3" s="7" t="n">
        <f aca="false">H3+I3</f>
        <v>9911.83463818182</v>
      </c>
    </row>
    <row r="4" customFormat="false" ht="15" hidden="false" customHeight="false" outlineLevel="0" collapsed="false">
      <c r="A4" s="13" t="s">
        <v>112</v>
      </c>
      <c r="B4" s="42"/>
      <c r="C4" s="41" t="n">
        <f aca="false">SUM(C3)</f>
        <v>11486.05</v>
      </c>
      <c r="D4" s="42"/>
      <c r="E4" s="42"/>
      <c r="F4" s="42"/>
      <c r="G4" s="14" t="n">
        <f aca="false">SUM(G3)</f>
        <v>247.994261363636</v>
      </c>
      <c r="H4" s="15" t="n">
        <f aca="false">SUM(H3)</f>
        <v>6943.83931818182</v>
      </c>
      <c r="I4" s="15" t="n">
        <f aca="false">SUM(I3)</f>
        <v>2967.99532</v>
      </c>
      <c r="J4" s="15" t="n">
        <f aca="false">SUM(J3)</f>
        <v>9911.83463818182</v>
      </c>
    </row>
    <row r="6" customFormat="false" ht="15" hidden="false" customHeight="false" outlineLevel="0" collapsed="false">
      <c r="A6" s="22" t="s">
        <v>43</v>
      </c>
      <c r="B6" s="22"/>
      <c r="C6" s="22"/>
      <c r="D6" s="22"/>
      <c r="E6" s="22"/>
      <c r="F6" s="22"/>
      <c r="G6" s="22"/>
      <c r="H6" s="22"/>
      <c r="I6" s="22"/>
      <c r="J6" s="22"/>
    </row>
    <row r="7" customFormat="false" ht="15" hidden="false" customHeight="false" outlineLevel="0" collapsed="false">
      <c r="A7" s="32" t="s">
        <v>113</v>
      </c>
      <c r="B7" s="32"/>
      <c r="C7" s="32"/>
      <c r="D7" s="32"/>
      <c r="E7" s="32"/>
      <c r="F7" s="32"/>
      <c r="G7" s="32"/>
      <c r="H7" s="32"/>
      <c r="I7" s="32"/>
      <c r="J7" s="32"/>
    </row>
    <row r="8" customFormat="false" ht="15" hidden="false" customHeight="false" outlineLevel="0" collapsed="false">
      <c r="A8" s="32" t="s">
        <v>114</v>
      </c>
      <c r="B8" s="32"/>
      <c r="C8" s="32"/>
      <c r="D8" s="32"/>
      <c r="E8" s="32"/>
      <c r="F8" s="32"/>
      <c r="G8" s="32"/>
      <c r="H8" s="32"/>
      <c r="I8" s="32"/>
      <c r="J8" s="32"/>
    </row>
    <row r="9" customFormat="false" ht="15" hidden="false" customHeight="false" outlineLevel="0" collapsed="false">
      <c r="A9" s="32" t="s">
        <v>115</v>
      </c>
      <c r="B9" s="32"/>
      <c r="C9" s="32"/>
      <c r="D9" s="32"/>
      <c r="E9" s="32"/>
      <c r="F9" s="32"/>
      <c r="G9" s="32"/>
      <c r="H9" s="32"/>
      <c r="I9" s="32"/>
      <c r="J9" s="32"/>
    </row>
    <row r="10" customFormat="false" ht="15" hidden="false" customHeight="false" outlineLevel="0" collapsed="false">
      <c r="A10" s="32" t="s">
        <v>116</v>
      </c>
      <c r="B10" s="32"/>
      <c r="C10" s="32"/>
      <c r="D10" s="32"/>
      <c r="E10" s="32"/>
      <c r="F10" s="32"/>
      <c r="G10" s="32"/>
      <c r="H10" s="32"/>
      <c r="I10" s="32"/>
      <c r="J10" s="32"/>
    </row>
    <row r="11" customFormat="false" ht="15" hidden="false" customHeight="false" outlineLevel="0" collapsed="false">
      <c r="A11" s="32" t="s">
        <v>117</v>
      </c>
      <c r="B11" s="32"/>
      <c r="C11" s="32"/>
      <c r="D11" s="32"/>
      <c r="E11" s="32"/>
      <c r="F11" s="32"/>
      <c r="G11" s="32"/>
      <c r="H11" s="32"/>
      <c r="I11" s="32"/>
      <c r="J11" s="32"/>
    </row>
    <row r="12" customFormat="false" ht="15" hidden="false" customHeight="false" outlineLevel="0" collapsed="false">
      <c r="A12" s="32" t="s">
        <v>118</v>
      </c>
      <c r="B12" s="32"/>
      <c r="C12" s="32"/>
      <c r="D12" s="32"/>
      <c r="E12" s="32"/>
      <c r="F12" s="32"/>
      <c r="G12" s="32"/>
      <c r="H12" s="32"/>
      <c r="I12" s="32"/>
      <c r="J12" s="32"/>
    </row>
    <row r="13" customFormat="false" ht="15" hidden="false" customHeight="false" outlineLevel="0" collapsed="false">
      <c r="A13" s="32" t="s">
        <v>119</v>
      </c>
      <c r="B13" s="32"/>
      <c r="C13" s="32"/>
      <c r="D13" s="32"/>
      <c r="E13" s="32"/>
      <c r="F13" s="32"/>
      <c r="G13" s="32"/>
      <c r="H13" s="32"/>
      <c r="I13" s="32"/>
      <c r="J13" s="32"/>
    </row>
  </sheetData>
  <mergeCells count="9">
    <mergeCell ref="A1:J1"/>
    <mergeCell ref="A6:J6"/>
    <mergeCell ref="A7:J7"/>
    <mergeCell ref="A8:J8"/>
    <mergeCell ref="A9:J9"/>
    <mergeCell ref="A10:J10"/>
    <mergeCell ref="A11:J11"/>
    <mergeCell ref="A12:J12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tru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9" min="6" style="0" width="14"/>
  </cols>
  <sheetData>
    <row r="1" customFormat="false" ht="24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4" t="s">
        <v>121</v>
      </c>
      <c r="B2" s="4" t="s">
        <v>122</v>
      </c>
      <c r="C2" s="4" t="s">
        <v>123</v>
      </c>
      <c r="D2" s="4" t="s">
        <v>124</v>
      </c>
      <c r="E2" s="4" t="s">
        <v>125</v>
      </c>
      <c r="F2" s="4" t="s">
        <v>65</v>
      </c>
      <c r="G2" s="4" t="s">
        <v>126</v>
      </c>
      <c r="H2" s="4" t="s">
        <v>127</v>
      </c>
      <c r="I2" s="4" t="s">
        <v>67</v>
      </c>
    </row>
    <row r="3" customFormat="false" ht="15" hidden="false" customHeight="false" outlineLevel="0" collapsed="false">
      <c r="A3" s="5" t="n">
        <v>1</v>
      </c>
      <c r="B3" s="5" t="s">
        <v>128</v>
      </c>
      <c r="C3" s="44" t="n">
        <v>16</v>
      </c>
      <c r="D3" s="45" t="n">
        <v>1.5</v>
      </c>
      <c r="E3" s="6" t="n">
        <f aca="false">C3*D3</f>
        <v>24</v>
      </c>
      <c r="F3" s="7" t="n">
        <f aca="false">E3*28</f>
        <v>672</v>
      </c>
      <c r="G3" s="46" t="n">
        <v>11.67</v>
      </c>
      <c r="H3" s="7" t="n">
        <f aca="false">C3*G3</f>
        <v>186.72</v>
      </c>
      <c r="I3" s="7" t="n">
        <f aca="false">F3+H3</f>
        <v>858.72</v>
      </c>
    </row>
    <row r="4" customFormat="false" ht="15" hidden="false" customHeight="false" outlineLevel="0" collapsed="false">
      <c r="A4" s="9" t="n">
        <v>2</v>
      </c>
      <c r="B4" s="9" t="s">
        <v>129</v>
      </c>
      <c r="C4" s="47" t="n">
        <v>1</v>
      </c>
      <c r="D4" s="48" t="n">
        <v>2.5</v>
      </c>
      <c r="E4" s="10" t="n">
        <f aca="false">C4*D4</f>
        <v>2.5</v>
      </c>
      <c r="F4" s="11" t="n">
        <f aca="false">E4*28</f>
        <v>70</v>
      </c>
      <c r="G4" s="49" t="n">
        <v>17.5</v>
      </c>
      <c r="H4" s="11" t="n">
        <f aca="false">C4*G4</f>
        <v>17.5</v>
      </c>
      <c r="I4" s="11" t="n">
        <f aca="false">F4+H4</f>
        <v>87.5</v>
      </c>
    </row>
    <row r="5" customFormat="false" ht="15" hidden="false" customHeight="false" outlineLevel="0" collapsed="false">
      <c r="A5" s="5" t="n">
        <v>3</v>
      </c>
      <c r="B5" s="5" t="s">
        <v>130</v>
      </c>
      <c r="C5" s="44" t="n">
        <v>4</v>
      </c>
      <c r="D5" s="45" t="n">
        <v>1</v>
      </c>
      <c r="E5" s="6" t="n">
        <f aca="false">C5*D5</f>
        <v>4</v>
      </c>
      <c r="F5" s="7" t="n">
        <f aca="false">E5*28</f>
        <v>112</v>
      </c>
      <c r="G5" s="46" t="n">
        <v>8.75</v>
      </c>
      <c r="H5" s="7" t="n">
        <f aca="false">C5*G5</f>
        <v>35</v>
      </c>
      <c r="I5" s="7" t="n">
        <f aca="false">F5+H5</f>
        <v>147</v>
      </c>
    </row>
    <row r="6" customFormat="false" ht="15" hidden="false" customHeight="false" outlineLevel="0" collapsed="false">
      <c r="A6" s="13"/>
      <c r="B6" s="13" t="s">
        <v>131</v>
      </c>
      <c r="C6" s="50" t="n">
        <f aca="false">SUM(C3:C5)</f>
        <v>21</v>
      </c>
      <c r="D6" s="42"/>
      <c r="E6" s="14" t="n">
        <f aca="false">SUM(E3:E5)</f>
        <v>30.5</v>
      </c>
      <c r="F6" s="15" t="n">
        <f aca="false">SUM(F3:F5)</f>
        <v>854</v>
      </c>
      <c r="G6" s="42"/>
      <c r="H6" s="15" t="n">
        <f aca="false">SUM(H3:H5)</f>
        <v>239.22</v>
      </c>
      <c r="I6" s="15" t="n">
        <f aca="false">SUM(I3:I5)</f>
        <v>1093.22</v>
      </c>
    </row>
    <row r="8" customFormat="false" ht="15" hidden="false" customHeight="false" outlineLevel="0" collapsed="false">
      <c r="A8" s="22" t="s">
        <v>43</v>
      </c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false" outlineLevel="0" collapsed="false">
      <c r="A9" s="32" t="s">
        <v>132</v>
      </c>
      <c r="B9" s="32"/>
      <c r="C9" s="32"/>
      <c r="D9" s="32"/>
      <c r="E9" s="32"/>
      <c r="F9" s="32"/>
      <c r="G9" s="32"/>
      <c r="H9" s="32"/>
      <c r="I9" s="32"/>
    </row>
    <row r="10" customFormat="false" ht="15" hidden="false" customHeight="false" outlineLevel="0" collapsed="false">
      <c r="A10" s="32" t="s">
        <v>133</v>
      </c>
      <c r="B10" s="32"/>
      <c r="C10" s="32"/>
      <c r="D10" s="32"/>
      <c r="E10" s="32"/>
      <c r="F10" s="32"/>
      <c r="G10" s="32"/>
      <c r="H10" s="32"/>
      <c r="I10" s="32"/>
    </row>
    <row r="11" customFormat="false" ht="15" hidden="false" customHeight="false" outlineLevel="0" collapsed="false">
      <c r="A11" s="32" t="s">
        <v>134</v>
      </c>
      <c r="B11" s="32"/>
      <c r="C11" s="32"/>
      <c r="D11" s="32"/>
      <c r="E11" s="32"/>
      <c r="F11" s="32"/>
      <c r="G11" s="32"/>
      <c r="H11" s="32"/>
      <c r="I11" s="32"/>
    </row>
    <row r="12" customFormat="false" ht="15" hidden="false" customHeight="false" outlineLevel="0" collapsed="false">
      <c r="A12" s="32" t="s">
        <v>135</v>
      </c>
      <c r="B12" s="32"/>
      <c r="C12" s="32"/>
      <c r="D12" s="32"/>
      <c r="E12" s="32"/>
      <c r="F12" s="32"/>
      <c r="G12" s="32"/>
      <c r="H12" s="32"/>
      <c r="I12" s="32"/>
    </row>
  </sheetData>
  <mergeCells count="6">
    <mergeCell ref="A1:I1"/>
    <mergeCell ref="A8:I8"/>
    <mergeCell ref="A9:I9"/>
    <mergeCell ref="A10:I10"/>
    <mergeCell ref="A11:I1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tru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9" min="7" style="0" width="14"/>
  </cols>
  <sheetData>
    <row r="1" customFormat="false" ht="24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4" t="s">
        <v>121</v>
      </c>
      <c r="B2" s="4" t="s">
        <v>122</v>
      </c>
      <c r="C2" s="4" t="s">
        <v>137</v>
      </c>
      <c r="D2" s="4" t="s">
        <v>138</v>
      </c>
      <c r="E2" s="4" t="s">
        <v>139</v>
      </c>
      <c r="F2" s="4" t="s">
        <v>64</v>
      </c>
      <c r="G2" s="4" t="s">
        <v>65</v>
      </c>
      <c r="H2" s="4" t="s">
        <v>66</v>
      </c>
      <c r="I2" s="4" t="s">
        <v>67</v>
      </c>
    </row>
    <row r="3" customFormat="false" ht="15" hidden="false" customHeight="false" outlineLevel="0" collapsed="false">
      <c r="A3" s="5" t="n">
        <v>1</v>
      </c>
      <c r="B3" s="5" t="s">
        <v>140</v>
      </c>
      <c r="C3" s="51" t="n">
        <v>268.74</v>
      </c>
      <c r="D3" s="36" t="s">
        <v>141</v>
      </c>
      <c r="E3" s="44" t="n">
        <v>150</v>
      </c>
      <c r="F3" s="6" t="n">
        <f aca="false">C3/E3*2.5</f>
        <v>4.479</v>
      </c>
      <c r="G3" s="7" t="n">
        <f aca="false">F3*28</f>
        <v>125.412</v>
      </c>
      <c r="H3" s="7" t="n">
        <f aca="false">C3/100*28 + C3/300*30*2</f>
        <v>128.9952</v>
      </c>
      <c r="I3" s="7" t="n">
        <f aca="false">G3+H3</f>
        <v>254.4072</v>
      </c>
    </row>
    <row r="4" customFormat="false" ht="15" hidden="false" customHeight="false" outlineLevel="0" collapsed="false">
      <c r="A4" s="13"/>
      <c r="B4" s="13" t="s">
        <v>142</v>
      </c>
      <c r="C4" s="41" t="n">
        <f aca="false">SUM(C3)</f>
        <v>268.74</v>
      </c>
      <c r="D4" s="42"/>
      <c r="E4" s="42"/>
      <c r="F4" s="14" t="n">
        <f aca="false">SUM(F3)</f>
        <v>4.479</v>
      </c>
      <c r="G4" s="15" t="n">
        <f aca="false">SUM(G3)</f>
        <v>125.412</v>
      </c>
      <c r="H4" s="15" t="n">
        <f aca="false">SUM(H3)</f>
        <v>128.9952</v>
      </c>
      <c r="I4" s="15" t="n">
        <f aca="false">SUM(I3)</f>
        <v>254.4072</v>
      </c>
    </row>
    <row r="6" customFormat="false" ht="15" hidden="false" customHeight="false" outlineLevel="0" collapsed="false">
      <c r="A6" s="22" t="s">
        <v>43</v>
      </c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false" outlineLevel="0" collapsed="false">
      <c r="A7" s="32" t="s">
        <v>143</v>
      </c>
      <c r="B7" s="32"/>
      <c r="C7" s="32"/>
      <c r="D7" s="32"/>
      <c r="E7" s="32"/>
      <c r="F7" s="32"/>
      <c r="G7" s="32"/>
      <c r="H7" s="32"/>
      <c r="I7" s="32"/>
    </row>
    <row r="8" customFormat="false" ht="15" hidden="false" customHeight="false" outlineLevel="0" collapsed="false">
      <c r="A8" s="32" t="s">
        <v>144</v>
      </c>
      <c r="B8" s="32"/>
      <c r="C8" s="32"/>
      <c r="D8" s="32"/>
      <c r="E8" s="32"/>
      <c r="F8" s="32"/>
      <c r="G8" s="32"/>
      <c r="H8" s="32"/>
      <c r="I8" s="32"/>
    </row>
    <row r="9" customFormat="false" ht="15" hidden="false" customHeight="false" outlineLevel="0" collapsed="false">
      <c r="A9" s="32" t="s">
        <v>145</v>
      </c>
      <c r="B9" s="32"/>
      <c r="C9" s="32"/>
      <c r="D9" s="32"/>
      <c r="E9" s="32"/>
      <c r="F9" s="32"/>
      <c r="G9" s="32"/>
      <c r="H9" s="32"/>
      <c r="I9" s="32"/>
    </row>
  </sheetData>
  <mergeCells count="5">
    <mergeCell ref="A1:I1"/>
    <mergeCell ref="A6:I6"/>
    <mergeCell ref="A7:I7"/>
    <mergeCell ref="A8:I8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tru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9" min="7" style="0" width="14"/>
  </cols>
  <sheetData>
    <row r="1" customFormat="false" ht="24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4" t="s">
        <v>121</v>
      </c>
      <c r="B2" s="4" t="s">
        <v>122</v>
      </c>
      <c r="C2" s="4" t="s">
        <v>123</v>
      </c>
      <c r="D2" s="4" t="s">
        <v>138</v>
      </c>
      <c r="E2" s="4" t="s">
        <v>147</v>
      </c>
      <c r="F2" s="4" t="s">
        <v>64</v>
      </c>
      <c r="G2" s="4" t="s">
        <v>65</v>
      </c>
      <c r="H2" s="4" t="s">
        <v>66</v>
      </c>
      <c r="I2" s="4" t="s">
        <v>67</v>
      </c>
    </row>
    <row r="3" customFormat="false" ht="15" hidden="false" customHeight="false" outlineLevel="0" collapsed="false">
      <c r="A3" s="5" t="n">
        <v>1</v>
      </c>
      <c r="B3" s="5" t="s">
        <v>148</v>
      </c>
      <c r="C3" s="44" t="n">
        <v>10</v>
      </c>
      <c r="D3" s="36" t="s">
        <v>149</v>
      </c>
      <c r="E3" s="52" t="n">
        <v>28</v>
      </c>
      <c r="F3" s="6" t="n">
        <v>10</v>
      </c>
      <c r="G3" s="7" t="n">
        <f aca="false">F3*28</f>
        <v>280</v>
      </c>
      <c r="H3" s="7" t="n">
        <v>0</v>
      </c>
      <c r="I3" s="7" t="n">
        <f aca="false">G3+H3</f>
        <v>280</v>
      </c>
    </row>
    <row r="4" customFormat="false" ht="15" hidden="false" customHeight="false" outlineLevel="0" collapsed="false">
      <c r="A4" s="9" t="n">
        <v>2</v>
      </c>
      <c r="B4" s="9" t="s">
        <v>150</v>
      </c>
      <c r="C4" s="47" t="n">
        <v>6</v>
      </c>
      <c r="D4" s="40" t="s">
        <v>149</v>
      </c>
      <c r="E4" s="53" t="n">
        <v>28</v>
      </c>
      <c r="F4" s="10" t="n">
        <v>6</v>
      </c>
      <c r="G4" s="11" t="n">
        <f aca="false">F4*28</f>
        <v>168</v>
      </c>
      <c r="H4" s="11" t="n">
        <v>0</v>
      </c>
      <c r="I4" s="11" t="n">
        <f aca="false">G4+H4</f>
        <v>168</v>
      </c>
    </row>
    <row r="5" customFormat="false" ht="15" hidden="false" customHeight="false" outlineLevel="0" collapsed="false">
      <c r="A5" s="5" t="n">
        <v>3</v>
      </c>
      <c r="B5" s="5" t="s">
        <v>151</v>
      </c>
      <c r="C5" s="44" t="n">
        <v>16</v>
      </c>
      <c r="D5" s="36" t="s">
        <v>149</v>
      </c>
      <c r="E5" s="52" t="n">
        <v>28</v>
      </c>
      <c r="F5" s="6" t="n">
        <v>16</v>
      </c>
      <c r="G5" s="7" t="n">
        <f aca="false">F5*28</f>
        <v>448</v>
      </c>
      <c r="H5" s="7" t="n">
        <v>0</v>
      </c>
      <c r="I5" s="7" t="n">
        <f aca="false">G5+H5</f>
        <v>448</v>
      </c>
    </row>
    <row r="6" customFormat="false" ht="15" hidden="false" customHeight="false" outlineLevel="0" collapsed="false">
      <c r="A6" s="9" t="n">
        <v>4</v>
      </c>
      <c r="B6" s="9" t="s">
        <v>152</v>
      </c>
      <c r="C6" s="47" t="n">
        <v>1</v>
      </c>
      <c r="D6" s="40" t="s">
        <v>153</v>
      </c>
      <c r="E6" s="40"/>
      <c r="F6" s="54"/>
      <c r="G6" s="11" t="n">
        <v>0</v>
      </c>
      <c r="H6" s="11" t="n">
        <v>1200</v>
      </c>
      <c r="I6" s="11" t="n">
        <f aca="false">G6+H6</f>
        <v>1200</v>
      </c>
    </row>
    <row r="7" customFormat="false" ht="15" hidden="false" customHeight="false" outlineLevel="0" collapsed="false">
      <c r="A7" s="5" t="n">
        <v>5</v>
      </c>
      <c r="B7" s="5" t="s">
        <v>154</v>
      </c>
      <c r="C7" s="44" t="n">
        <v>1</v>
      </c>
      <c r="D7" s="36" t="s">
        <v>153</v>
      </c>
      <c r="E7" s="36"/>
      <c r="F7" s="55"/>
      <c r="G7" s="7" t="n">
        <v>0</v>
      </c>
      <c r="H7" s="7" t="n">
        <v>1250</v>
      </c>
      <c r="I7" s="7" t="n">
        <f aca="false">G7+H7</f>
        <v>1250</v>
      </c>
    </row>
    <row r="8" customFormat="false" ht="15" hidden="false" customHeight="false" outlineLevel="0" collapsed="false">
      <c r="A8" s="9" t="n">
        <v>6</v>
      </c>
      <c r="B8" s="9" t="s">
        <v>155</v>
      </c>
      <c r="C8" s="47" t="n">
        <v>12</v>
      </c>
      <c r="D8" s="40" t="s">
        <v>149</v>
      </c>
      <c r="E8" s="53" t="n">
        <v>28</v>
      </c>
      <c r="F8" s="10" t="n">
        <v>12</v>
      </c>
      <c r="G8" s="11" t="n">
        <f aca="false">F8*28</f>
        <v>336</v>
      </c>
      <c r="H8" s="11" t="n">
        <v>0</v>
      </c>
      <c r="I8" s="11" t="n">
        <f aca="false">G8+H8</f>
        <v>336</v>
      </c>
    </row>
    <row r="9" customFormat="false" ht="15" hidden="false" customHeight="false" outlineLevel="0" collapsed="false">
      <c r="A9" s="5" t="n">
        <v>7</v>
      </c>
      <c r="B9" s="5" t="s">
        <v>156</v>
      </c>
      <c r="C9" s="44" t="n">
        <v>12</v>
      </c>
      <c r="D9" s="36" t="s">
        <v>149</v>
      </c>
      <c r="E9" s="52" t="n">
        <v>28</v>
      </c>
      <c r="F9" s="6" t="n">
        <v>12</v>
      </c>
      <c r="G9" s="7" t="n">
        <f aca="false">F9*28</f>
        <v>336</v>
      </c>
      <c r="H9" s="7" t="n">
        <v>0</v>
      </c>
      <c r="I9" s="7" t="n">
        <f aca="false">G9+H9</f>
        <v>336</v>
      </c>
    </row>
    <row r="10" customFormat="false" ht="15" hidden="false" customHeight="false" outlineLevel="0" collapsed="false">
      <c r="A10" s="9" t="n">
        <v>8</v>
      </c>
      <c r="B10" s="9" t="s">
        <v>157</v>
      </c>
      <c r="C10" s="47" t="n">
        <v>12</v>
      </c>
      <c r="D10" s="40" t="s">
        <v>149</v>
      </c>
      <c r="E10" s="53" t="n">
        <v>28</v>
      </c>
      <c r="F10" s="10" t="n">
        <v>12</v>
      </c>
      <c r="G10" s="11" t="n">
        <f aca="false">F10*28</f>
        <v>336</v>
      </c>
      <c r="H10" s="11" t="n">
        <v>0</v>
      </c>
      <c r="I10" s="11" t="n">
        <f aca="false">G10+H10</f>
        <v>336</v>
      </c>
    </row>
    <row r="11" customFormat="false" ht="15" hidden="false" customHeight="false" outlineLevel="0" collapsed="false">
      <c r="A11" s="5" t="n">
        <v>9</v>
      </c>
      <c r="B11" s="5" t="s">
        <v>158</v>
      </c>
      <c r="C11" s="44" t="n">
        <v>1</v>
      </c>
      <c r="D11" s="36" t="s">
        <v>153</v>
      </c>
      <c r="E11" s="36"/>
      <c r="F11" s="55"/>
      <c r="G11" s="7" t="n">
        <v>0</v>
      </c>
      <c r="H11" s="7" t="n">
        <v>350</v>
      </c>
      <c r="I11" s="7" t="n">
        <f aca="false">G11+H11</f>
        <v>350</v>
      </c>
    </row>
    <row r="12" customFormat="false" ht="15" hidden="false" customHeight="false" outlineLevel="0" collapsed="false">
      <c r="A12" s="13"/>
      <c r="B12" s="13" t="s">
        <v>159</v>
      </c>
      <c r="C12" s="42"/>
      <c r="D12" s="42"/>
      <c r="E12" s="42"/>
      <c r="F12" s="14" t="n">
        <f aca="false">SUM(F3:F11)</f>
        <v>68</v>
      </c>
      <c r="G12" s="15" t="n">
        <f aca="false">SUM(G3:G11)</f>
        <v>1904</v>
      </c>
      <c r="H12" s="15" t="n">
        <f aca="false">SUM(H3:H11)</f>
        <v>2800</v>
      </c>
      <c r="I12" s="15" t="n">
        <f aca="false">SUM(I3:I11)</f>
        <v>4704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2026-03-19T14:04:43Z</dcterms:created>
  <dc:creator>openpyxl</dc:creator>
  <dc:description/>
  <dc:language>en-US</dc:language>
  <cp:lastModifiedBy/>
  <dcterms:modified xsi:type="dcterms:W3CDTF">2026-03-19T14:04:43Z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